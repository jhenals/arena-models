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subol\Desktop\LM Telecom Engineering\Optimization\Final Project\excel\"/>
    </mc:Choice>
  </mc:AlternateContent>
  <xr:revisionPtr revIDLastSave="0" documentId="13_ncr:1_{42D19DBE-7C55-4FC6-A131-85CF4A42CC8B}" xr6:coauthVersionLast="47" xr6:coauthVersionMax="47" xr10:uidLastSave="{00000000-0000-0000-0000-000000000000}"/>
  <bookViews>
    <workbookView xWindow="-96" yWindow="0" windowWidth="11712" windowHeight="12336" xr2:uid="{7E7C9E89-C27C-4B7B-8AC6-EFB59D47D2DD}"/>
  </bookViews>
  <sheets>
    <sheet name="Min" sheetId="2" r:id="rId1"/>
    <sheet name="Ma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" l="1"/>
  <c r="H30" i="2"/>
  <c r="G30" i="2"/>
  <c r="I29" i="2"/>
  <c r="H29" i="2"/>
  <c r="G29" i="2"/>
  <c r="D18" i="2"/>
  <c r="C18" i="2"/>
  <c r="B18" i="2"/>
  <c r="D19" i="2"/>
  <c r="C19" i="2"/>
  <c r="B19" i="2"/>
  <c r="I6" i="1"/>
  <c r="E13" i="1"/>
  <c r="D13" i="1"/>
  <c r="C13" i="1"/>
  <c r="B13" i="1"/>
  <c r="A13" i="1"/>
  <c r="E12" i="1"/>
  <c r="D12" i="1"/>
  <c r="C12" i="1"/>
  <c r="B12" i="1"/>
  <c r="A12" i="1"/>
  <c r="E19" i="1" l="1"/>
  <c r="F26" i="1" s="1"/>
  <c r="F18" i="1"/>
  <c r="F25" i="1" s="1"/>
  <c r="E17" i="1"/>
  <c r="E24" i="1" s="1"/>
  <c r="D19" i="1"/>
  <c r="E26" i="1" s="1"/>
  <c r="E16" i="1"/>
  <c r="E23" i="1" s="1"/>
  <c r="F17" i="1"/>
  <c r="F24" i="1" s="1"/>
  <c r="D18" i="1"/>
  <c r="E25" i="1" s="1"/>
  <c r="C17" i="1"/>
  <c r="D24" i="1" s="1"/>
  <c r="C19" i="1"/>
  <c r="D26" i="1" s="1"/>
  <c r="F16" i="1"/>
  <c r="F23" i="1" s="1"/>
  <c r="C18" i="1"/>
  <c r="D25" i="1" s="1"/>
  <c r="D16" i="1"/>
  <c r="D23" i="1" s="1"/>
  <c r="B16" i="1"/>
  <c r="C23" i="1" s="1"/>
  <c r="D15" i="1"/>
  <c r="D22" i="1" s="1"/>
  <c r="E15" i="1"/>
  <c r="E22" i="1" s="1"/>
  <c r="B19" i="1"/>
  <c r="C26" i="1" s="1"/>
  <c r="F15" i="1"/>
  <c r="F22" i="1" s="1"/>
  <c r="B17" i="1"/>
  <c r="C24" i="1" s="1"/>
  <c r="B18" i="1"/>
  <c r="C25" i="1" s="1"/>
  <c r="C15" i="1"/>
  <c r="C22" i="1" s="1"/>
</calcChain>
</file>

<file path=xl/sharedStrings.xml><?xml version="1.0" encoding="utf-8"?>
<sst xmlns="http://schemas.openxmlformats.org/spreadsheetml/2006/main" count="27" uniqueCount="15">
  <si>
    <t>Xi</t>
  </si>
  <si>
    <t>Si^2</t>
  </si>
  <si>
    <t>&gt;=</t>
  </si>
  <si>
    <t>X1=7.968</t>
  </si>
  <si>
    <t>no</t>
  </si>
  <si>
    <t>X2=7.504</t>
  </si>
  <si>
    <t>X3=19.678</t>
  </si>
  <si>
    <t>yes</t>
  </si>
  <si>
    <t>X4=9.823</t>
  </si>
  <si>
    <t>X5=6.846</t>
  </si>
  <si>
    <t xml:space="preserve">           i=
n=</t>
  </si>
  <si>
    <t>n=</t>
  </si>
  <si>
    <t>IZ-based Ranking and Selection (Bechhofer’s single-stage IZ procedure)</t>
  </si>
  <si>
    <t>0.85708</t>
  </si>
  <si>
    <t>0.68223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</si>
</sst>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0" applyNumberFormat="1"/>
    <xf numFmtId="0" fontId="5" fillId="0" borderId="0" xfId="0" applyFont="1"/>
    <xf numFmtId="0" fontId="3" fillId="0" borderId="1" xfId="1" applyFont="1" applyAlignment="1">
      <alignment horizontal="center" vertical="center" wrapText="1"/>
    </xf>
    <xf numFmtId="0" fontId="1" fillId="0" borderId="1" xfId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164" fontId="2" fillId="0" borderId="0" xfId="0" applyNumberFormat="1" applyFont="1" applyFill="1"/>
    <xf numFmtId="9" fontId="2" fillId="0" borderId="0" xfId="0" applyNumberFormat="1" applyFont="1" applyFill="1"/>
    <xf numFmtId="0" fontId="4" fillId="0" borderId="0" xfId="2" applyFill="1"/>
    <xf numFmtId="0" fontId="0" fillId="0" borderId="0" xfId="0" applyBorder="1"/>
    <xf numFmtId="0" fontId="2" fillId="0" borderId="3" xfId="0" applyFont="1" applyFill="1" applyBorder="1"/>
    <xf numFmtId="0" fontId="2" fillId="0" borderId="8" xfId="0" applyFont="1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0" fillId="0" borderId="2" xfId="0" applyFill="1" applyBorder="1"/>
    <xf numFmtId="0" fontId="0" fillId="3" borderId="0" xfId="0" applyFill="1"/>
    <xf numFmtId="0" fontId="0" fillId="0" borderId="0" xfId="0" applyFont="1"/>
    <xf numFmtId="0" fontId="0" fillId="0" borderId="0" xfId="0" applyFill="1" applyBorder="1"/>
    <xf numFmtId="0" fontId="0" fillId="0" borderId="0" xfId="0" quotePrefix="1"/>
    <xf numFmtId="0" fontId="0" fillId="0" borderId="0" xfId="0" applyNumberFormat="1"/>
    <xf numFmtId="0" fontId="0" fillId="0" borderId="0" xfId="0" applyNumberFormat="1" applyFill="1" applyBorder="1"/>
  </cellXfs>
  <cellStyles count="3">
    <cellStyle name="Collegamento ipertestuale" xfId="2" builtinId="8"/>
    <cellStyle name="Normale" xfId="0" builtinId="0"/>
    <cellStyle name="Titolo 1" xfId="1" builtinId="16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0AF2E0-EEAC-4A25-9E38-3596C855902B}">
  <we:reference id="wa200000113" version="1.0.0.0" store="it-IT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12E9-39F2-4569-966B-278589AAB727}">
  <sheetPr codeName="Foglio1"/>
  <dimension ref="A1:Q34"/>
  <sheetViews>
    <sheetView tabSelected="1" topLeftCell="A6" zoomScale="77" zoomScaleNormal="66" workbookViewId="0">
      <selection activeCell="H34" activeCellId="1" sqref="G29:I29 H34"/>
    </sheetView>
  </sheetViews>
  <sheetFormatPr defaultRowHeight="14.4" x14ac:dyDescent="0.3"/>
  <cols>
    <col min="8" max="8" width="10.88671875" customWidth="1"/>
    <col min="9" max="9" width="11.6640625" customWidth="1"/>
    <col min="10" max="10" width="14.77734375" customWidth="1"/>
    <col min="12" max="12" width="16.109375" customWidth="1"/>
    <col min="13" max="13" width="13.5546875" customWidth="1"/>
  </cols>
  <sheetData>
    <row r="1" spans="1:17" ht="15" thickBot="1" x14ac:dyDescent="0.35">
      <c r="B1" s="12" t="s">
        <v>12</v>
      </c>
      <c r="C1" s="13"/>
      <c r="D1" s="13"/>
      <c r="E1" s="13"/>
      <c r="G1" s="14"/>
      <c r="H1" s="14"/>
      <c r="I1" s="15"/>
      <c r="J1" s="14"/>
      <c r="K1" s="14"/>
      <c r="L1" s="14"/>
      <c r="M1" s="14"/>
      <c r="N1" s="14"/>
      <c r="O1" s="14"/>
      <c r="P1" s="14"/>
      <c r="Q1" s="14"/>
    </row>
    <row r="2" spans="1:17" ht="15.6" thickTop="1" thickBot="1" x14ac:dyDescent="0.35">
      <c r="B2" s="13"/>
      <c r="C2" s="13"/>
      <c r="D2" s="13"/>
      <c r="E2" s="13"/>
      <c r="G2" s="14"/>
      <c r="H2" s="14"/>
      <c r="I2" s="15"/>
      <c r="J2" s="14"/>
      <c r="K2" s="14"/>
      <c r="L2" s="14"/>
      <c r="M2" s="16"/>
      <c r="N2" s="14"/>
      <c r="O2" s="14"/>
      <c r="P2" s="14"/>
      <c r="Q2" s="14"/>
    </row>
    <row r="3" spans="1:17" ht="15" thickTop="1" x14ac:dyDescent="0.3"/>
    <row r="4" spans="1:17" x14ac:dyDescent="0.3">
      <c r="A4" s="25" t="s">
        <v>11</v>
      </c>
      <c r="B4" s="25">
        <v>10</v>
      </c>
      <c r="G4" s="25">
        <v>21</v>
      </c>
    </row>
    <row r="5" spans="1:17" x14ac:dyDescent="0.3">
      <c r="F5" s="11"/>
      <c r="G5" s="14"/>
      <c r="H5" s="14"/>
      <c r="I5" s="17"/>
      <c r="J5" s="14"/>
      <c r="K5" s="15"/>
      <c r="L5" s="14"/>
      <c r="M5" s="14"/>
      <c r="N5" s="14"/>
      <c r="O5" s="14"/>
      <c r="P5" s="14"/>
      <c r="Q5" s="14"/>
    </row>
    <row r="6" spans="1:17" ht="29.4" thickBot="1" x14ac:dyDescent="0.35">
      <c r="A6" s="21" t="s">
        <v>10</v>
      </c>
      <c r="B6" s="23">
        <v>1</v>
      </c>
      <c r="C6" s="23">
        <v>2</v>
      </c>
      <c r="D6" s="23">
        <v>3</v>
      </c>
      <c r="E6" s="3"/>
      <c r="F6" s="21" t="s">
        <v>10</v>
      </c>
      <c r="G6" s="22">
        <v>1</v>
      </c>
      <c r="H6" s="23">
        <v>2</v>
      </c>
      <c r="I6" s="23">
        <v>3</v>
      </c>
      <c r="J6" s="15"/>
      <c r="K6" s="18"/>
      <c r="L6" s="14"/>
      <c r="M6" s="14"/>
      <c r="N6" s="14"/>
      <c r="O6" s="14"/>
      <c r="P6" s="14"/>
      <c r="Q6" s="14"/>
    </row>
    <row r="7" spans="1:17" ht="15" thickTop="1" x14ac:dyDescent="0.3">
      <c r="A7" s="5">
        <v>1</v>
      </c>
      <c r="B7">
        <v>0.27422999999999997</v>
      </c>
      <c r="C7">
        <v>0.10792</v>
      </c>
      <c r="D7">
        <v>0.25695000000000001</v>
      </c>
      <c r="F7" s="5">
        <v>1</v>
      </c>
      <c r="G7">
        <v>0.44335000000000002</v>
      </c>
      <c r="H7">
        <v>0.14849999999999999</v>
      </c>
      <c r="I7">
        <v>0.44335000000000002</v>
      </c>
      <c r="J7" s="14"/>
      <c r="K7" s="14"/>
      <c r="L7" s="14"/>
      <c r="M7" s="14"/>
      <c r="N7" s="14"/>
      <c r="O7" s="14"/>
      <c r="P7" s="14"/>
      <c r="Q7" s="14"/>
    </row>
    <row r="8" spans="1:17" x14ac:dyDescent="0.3">
      <c r="A8" s="5">
        <v>2</v>
      </c>
      <c r="B8">
        <v>2.7887</v>
      </c>
      <c r="C8">
        <v>1.5622</v>
      </c>
      <c r="D8">
        <v>2.7862</v>
      </c>
      <c r="F8" s="5">
        <v>2</v>
      </c>
      <c r="G8">
        <v>1.1651</v>
      </c>
      <c r="H8">
        <v>0.89278999999999997</v>
      </c>
      <c r="I8">
        <v>1.1493</v>
      </c>
      <c r="J8" s="14"/>
      <c r="K8" s="14"/>
      <c r="L8" s="14"/>
      <c r="M8" s="14"/>
      <c r="N8" s="14"/>
      <c r="O8" s="14"/>
      <c r="P8" s="14"/>
      <c r="Q8" s="14"/>
    </row>
    <row r="9" spans="1:17" x14ac:dyDescent="0.3">
      <c r="A9" s="5">
        <v>3</v>
      </c>
      <c r="B9">
        <v>1.0053000000000001</v>
      </c>
      <c r="C9">
        <v>0.19572000000000001</v>
      </c>
      <c r="D9">
        <v>0.99409000000000003</v>
      </c>
      <c r="F9" s="5">
        <v>3</v>
      </c>
      <c r="G9">
        <v>0.70350999999999997</v>
      </c>
      <c r="H9">
        <v>0.52952999999999995</v>
      </c>
      <c r="I9">
        <v>0.70350999999999997</v>
      </c>
      <c r="J9" s="14"/>
      <c r="K9" s="14"/>
      <c r="L9" s="14"/>
      <c r="M9" s="14"/>
      <c r="N9" s="14"/>
      <c r="O9" s="14"/>
      <c r="P9" s="14"/>
      <c r="Q9" s="14"/>
    </row>
    <row r="10" spans="1:17" x14ac:dyDescent="0.3">
      <c r="A10" s="5">
        <v>4</v>
      </c>
      <c r="B10">
        <v>4.1337000000000002</v>
      </c>
      <c r="C10">
        <v>3.4988999999999999</v>
      </c>
      <c r="D10">
        <v>4.5220000000000002</v>
      </c>
      <c r="F10" s="5">
        <v>4</v>
      </c>
      <c r="G10">
        <v>2.8123999999999998</v>
      </c>
      <c r="H10">
        <v>2.5156999999999998</v>
      </c>
      <c r="I10" s="29">
        <v>2.8226</v>
      </c>
    </row>
    <row r="11" spans="1:17" x14ac:dyDescent="0.3">
      <c r="A11" s="5">
        <v>5</v>
      </c>
      <c r="B11" t="s">
        <v>13</v>
      </c>
      <c r="C11" t="s">
        <v>14</v>
      </c>
      <c r="D11">
        <v>0.85160999999999998</v>
      </c>
      <c r="F11" s="5">
        <v>5</v>
      </c>
      <c r="G11">
        <v>0.86777000000000004</v>
      </c>
      <c r="H11">
        <v>0.50083999999999995</v>
      </c>
      <c r="I11" s="29">
        <v>0.84636</v>
      </c>
    </row>
    <row r="12" spans="1:17" x14ac:dyDescent="0.3">
      <c r="A12" s="5">
        <v>6</v>
      </c>
      <c r="B12">
        <v>0.93479000000000001</v>
      </c>
      <c r="C12">
        <v>0.47367999999999999</v>
      </c>
      <c r="D12">
        <v>0.96118999999999999</v>
      </c>
      <c r="F12" s="5">
        <v>6</v>
      </c>
      <c r="G12">
        <v>1.3337000000000001</v>
      </c>
      <c r="H12">
        <v>0.48046</v>
      </c>
      <c r="I12" s="29">
        <v>1.3210999999999999</v>
      </c>
    </row>
    <row r="13" spans="1:17" x14ac:dyDescent="0.3">
      <c r="A13" s="5">
        <v>7</v>
      </c>
      <c r="B13">
        <v>1.3006</v>
      </c>
      <c r="C13">
        <v>0.78305000000000002</v>
      </c>
      <c r="D13">
        <v>1.286</v>
      </c>
      <c r="F13" s="5">
        <v>7</v>
      </c>
      <c r="G13">
        <v>0.56562999999999997</v>
      </c>
      <c r="H13" s="28">
        <v>0.32529000000000002</v>
      </c>
      <c r="I13" s="29">
        <v>0.50131999999999999</v>
      </c>
    </row>
    <row r="14" spans="1:17" x14ac:dyDescent="0.3">
      <c r="A14" s="5">
        <v>8</v>
      </c>
      <c r="B14">
        <v>0.83015000000000005</v>
      </c>
      <c r="C14">
        <v>0.63129999999999997</v>
      </c>
      <c r="D14">
        <v>0.83015000000000005</v>
      </c>
      <c r="F14" s="5">
        <v>8</v>
      </c>
      <c r="G14">
        <v>0.34823999999999999</v>
      </c>
      <c r="H14">
        <v>0.39585999999999999</v>
      </c>
      <c r="I14" s="29">
        <v>0.34823999999999999</v>
      </c>
    </row>
    <row r="15" spans="1:17" x14ac:dyDescent="0.3">
      <c r="A15" s="5">
        <v>9</v>
      </c>
      <c r="B15">
        <v>1.0682</v>
      </c>
      <c r="C15">
        <v>0.34517999999999999</v>
      </c>
      <c r="D15">
        <v>1.0959000000000001</v>
      </c>
      <c r="F15" s="5">
        <v>9</v>
      </c>
      <c r="G15">
        <v>0.52139000000000002</v>
      </c>
      <c r="H15">
        <v>0.25128</v>
      </c>
      <c r="I15" s="29">
        <v>0.49370000000000003</v>
      </c>
    </row>
    <row r="16" spans="1:17" x14ac:dyDescent="0.3">
      <c r="A16" s="6">
        <v>10</v>
      </c>
      <c r="B16" s="4">
        <v>0.47949000000000003</v>
      </c>
      <c r="C16" s="4">
        <v>0.29913000000000001</v>
      </c>
      <c r="D16" s="4">
        <v>0.47949000000000003</v>
      </c>
      <c r="F16" s="5">
        <v>10</v>
      </c>
      <c r="G16" s="19">
        <v>0.76449999999999996</v>
      </c>
      <c r="H16" s="27">
        <v>0.47158</v>
      </c>
      <c r="I16" s="30">
        <v>0.76449999999999996</v>
      </c>
    </row>
    <row r="17" spans="1:12" x14ac:dyDescent="0.3">
      <c r="A17" s="3"/>
      <c r="F17" s="5">
        <v>11</v>
      </c>
      <c r="G17" s="27">
        <v>0.36143999999999998</v>
      </c>
      <c r="H17" s="27">
        <v>0.14302000000000001</v>
      </c>
      <c r="I17" s="30">
        <v>0.36143999999999998</v>
      </c>
    </row>
    <row r="18" spans="1:12" x14ac:dyDescent="0.3">
      <c r="A18" s="3" t="s">
        <v>0</v>
      </c>
      <c r="B18" s="7">
        <f>SUM(B7:B16)/B4</f>
        <v>1.2815160000000001</v>
      </c>
      <c r="C18" s="8">
        <f>SUM(C7:C16)/B4</f>
        <v>0.78970799999999997</v>
      </c>
      <c r="D18" s="8">
        <f>SUM(D7:D16)/B4</f>
        <v>1.406358</v>
      </c>
      <c r="F18" s="20">
        <v>12</v>
      </c>
      <c r="G18" s="27">
        <v>0.85131999999999997</v>
      </c>
      <c r="H18" s="27">
        <v>0.61751</v>
      </c>
      <c r="I18" s="30">
        <v>0.85131999999999997</v>
      </c>
    </row>
    <row r="19" spans="1:12" x14ac:dyDescent="0.3">
      <c r="A19" s="3" t="s">
        <v>1</v>
      </c>
      <c r="B19" s="9">
        <f>VAR(B7:B16)</f>
        <v>1.5410081788999994</v>
      </c>
      <c r="C19" s="4">
        <f t="shared" ref="C19:D19" si="0">VAR(C7:C16)</f>
        <v>1.1560139561750002</v>
      </c>
      <c r="D19" s="4">
        <f t="shared" si="0"/>
        <v>1.6566869699733335</v>
      </c>
      <c r="E19" s="11"/>
      <c r="F19" s="5">
        <v>13</v>
      </c>
      <c r="G19" s="27">
        <v>0.47939999999999999</v>
      </c>
      <c r="H19" s="27">
        <v>0.50619999999999998</v>
      </c>
      <c r="I19" s="30">
        <v>0.47939999999999999</v>
      </c>
    </row>
    <row r="20" spans="1:12" x14ac:dyDescent="0.3">
      <c r="A20" s="3"/>
      <c r="F20" s="20">
        <v>14</v>
      </c>
      <c r="G20" s="27">
        <v>0.95115000000000005</v>
      </c>
      <c r="H20" s="27">
        <v>0.71860000000000002</v>
      </c>
      <c r="I20" s="30">
        <v>0.95115000000000005</v>
      </c>
    </row>
    <row r="21" spans="1:12" x14ac:dyDescent="0.3">
      <c r="A21" s="3"/>
      <c r="F21" s="5">
        <v>15</v>
      </c>
      <c r="G21" s="27">
        <v>0.42166999999999999</v>
      </c>
      <c r="H21" s="27">
        <v>0.56435000000000002</v>
      </c>
      <c r="I21" s="30">
        <v>0.42166999999999999</v>
      </c>
    </row>
    <row r="22" spans="1:12" x14ac:dyDescent="0.3">
      <c r="A22" s="3"/>
      <c r="B22" s="14"/>
      <c r="C22" s="14"/>
      <c r="D22" s="14"/>
      <c r="E22" s="14"/>
      <c r="F22" s="20">
        <v>16</v>
      </c>
      <c r="G22" s="27">
        <v>0.14093</v>
      </c>
      <c r="H22" s="27">
        <v>1.7160000000000002E-2</v>
      </c>
      <c r="I22" s="30">
        <v>0.14093</v>
      </c>
    </row>
    <row r="23" spans="1:12" x14ac:dyDescent="0.3">
      <c r="B23" s="14"/>
      <c r="C23" s="14"/>
      <c r="D23" s="14"/>
      <c r="E23" s="14"/>
      <c r="F23" s="5">
        <v>17</v>
      </c>
      <c r="G23" s="27">
        <v>0.74843999999999999</v>
      </c>
      <c r="H23" s="14">
        <v>0.25323000000000001</v>
      </c>
      <c r="I23" s="30">
        <v>0.74843999999999999</v>
      </c>
    </row>
    <row r="24" spans="1:12" x14ac:dyDescent="0.3">
      <c r="B24" s="14"/>
      <c r="C24" s="14"/>
      <c r="D24" s="14"/>
      <c r="E24" s="14"/>
      <c r="F24" s="20">
        <v>18</v>
      </c>
      <c r="G24" s="27">
        <v>2.1566000000000001</v>
      </c>
      <c r="H24" s="14">
        <v>1.6608000000000001</v>
      </c>
      <c r="I24" s="30">
        <v>2.5116999999999998</v>
      </c>
    </row>
    <row r="25" spans="1:12" x14ac:dyDescent="0.3">
      <c r="B25" s="14"/>
      <c r="C25" s="14"/>
      <c r="D25" s="14"/>
      <c r="E25" s="14"/>
      <c r="F25" s="5">
        <v>19</v>
      </c>
      <c r="G25" s="27">
        <v>0.69850000000000001</v>
      </c>
      <c r="H25" s="14">
        <v>5.314E-2</v>
      </c>
      <c r="I25" s="30">
        <v>0.69850000000000001</v>
      </c>
    </row>
    <row r="26" spans="1:12" x14ac:dyDescent="0.3">
      <c r="B26" s="14"/>
      <c r="C26" s="14"/>
      <c r="D26" s="14"/>
      <c r="E26" s="14"/>
      <c r="F26" s="20">
        <v>20</v>
      </c>
      <c r="G26" s="27">
        <v>0.12867000000000001</v>
      </c>
      <c r="H26" s="14">
        <v>4.8779999999999997E-2</v>
      </c>
      <c r="I26" s="30">
        <v>0.12867000000000001</v>
      </c>
    </row>
    <row r="27" spans="1:12" x14ac:dyDescent="0.3">
      <c r="B27" s="14"/>
      <c r="C27" s="14"/>
      <c r="D27" s="14"/>
      <c r="E27" s="14"/>
      <c r="F27" s="6">
        <v>21</v>
      </c>
      <c r="G27" s="24">
        <v>0.41909000000000002</v>
      </c>
      <c r="H27" s="24">
        <v>0.13292999999999999</v>
      </c>
      <c r="I27" s="24">
        <v>0.41909000000000002</v>
      </c>
    </row>
    <row r="28" spans="1:12" x14ac:dyDescent="0.3">
      <c r="B28" s="14"/>
      <c r="C28" s="14"/>
      <c r="D28" s="14"/>
      <c r="E28" s="14"/>
      <c r="F28" s="14"/>
      <c r="G28" s="14"/>
      <c r="H28" s="14"/>
      <c r="I28" s="14"/>
    </row>
    <row r="29" spans="1:12" x14ac:dyDescent="0.3">
      <c r="F29" s="3" t="s">
        <v>0</v>
      </c>
      <c r="G29" s="7">
        <f>SUM(G7:G27)/G4</f>
        <v>0.80394285714285707</v>
      </c>
      <c r="H29" s="8">
        <f>SUM(H7:H27)/G4</f>
        <v>0.53464523809523823</v>
      </c>
      <c r="I29" s="8">
        <f>SUM(I7:I27)/G4</f>
        <v>0.8145852380952382</v>
      </c>
    </row>
    <row r="30" spans="1:12" x14ac:dyDescent="0.3">
      <c r="B30" s="10"/>
      <c r="C30" s="2"/>
      <c r="F30" s="3" t="s">
        <v>1</v>
      </c>
      <c r="G30" s="9">
        <f>VAR(G7:G27)</f>
        <v>0.41468851382142863</v>
      </c>
      <c r="H30" s="4">
        <f>VAR(H7:H27)</f>
        <v>0.33968440460619037</v>
      </c>
      <c r="I30" s="4">
        <f>VAR(I7:I27)</f>
        <v>0.4721897421261903</v>
      </c>
      <c r="L30" s="11"/>
    </row>
    <row r="31" spans="1:12" x14ac:dyDescent="0.3">
      <c r="B31" s="10"/>
      <c r="C31" s="2"/>
      <c r="I31" s="26"/>
    </row>
    <row r="32" spans="1:12" x14ac:dyDescent="0.3">
      <c r="B32" s="10"/>
      <c r="C32" s="2"/>
    </row>
    <row r="33" spans="2:7" x14ac:dyDescent="0.3">
      <c r="B33" s="10"/>
      <c r="C33" s="2"/>
    </row>
    <row r="34" spans="2:7" x14ac:dyDescent="0.3">
      <c r="B34" s="10"/>
      <c r="C34" s="2"/>
      <c r="G34" s="11"/>
    </row>
  </sheetData>
  <mergeCells count="1">
    <mergeCell ref="B1:E2"/>
  </mergeCells>
  <conditionalFormatting sqref="I31:I34">
    <cfRule type="containsText" dxfId="1" priority="1" operator="containsText" text="NO">
      <formula>NOT(ISERROR(SEARCH("NO",I31)))</formula>
    </cfRule>
    <cfRule type="containsText" dxfId="0" priority="2" operator="containsText" text="YES">
      <formula>NOT(ISERROR(SEARCH("YES",I31)))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231E-0A91-47B9-A93A-4D06CA65EE38}">
  <sheetPr codeName="Foglio2"/>
  <dimension ref="A1:I26"/>
  <sheetViews>
    <sheetView workbookViewId="0">
      <selection activeCell="B26" sqref="B26"/>
    </sheetView>
  </sheetViews>
  <sheetFormatPr defaultRowHeight="14.4" x14ac:dyDescent="0.3"/>
  <sheetData>
    <row r="1" spans="1:9" x14ac:dyDescent="0.3">
      <c r="A1">
        <v>7.37</v>
      </c>
      <c r="B1">
        <v>6.8</v>
      </c>
      <c r="C1">
        <v>18.239999999999998</v>
      </c>
      <c r="D1">
        <v>10.38</v>
      </c>
      <c r="E1">
        <v>6.44</v>
      </c>
    </row>
    <row r="2" spans="1:9" x14ac:dyDescent="0.3">
      <c r="A2">
        <v>7.64</v>
      </c>
      <c r="B2">
        <v>7.03</v>
      </c>
      <c r="C2">
        <v>17.7</v>
      </c>
      <c r="D2">
        <v>10.37</v>
      </c>
      <c r="E2">
        <v>7.55</v>
      </c>
    </row>
    <row r="3" spans="1:9" x14ac:dyDescent="0.3">
      <c r="A3">
        <v>7.79</v>
      </c>
      <c r="B3">
        <v>8.0299999999999994</v>
      </c>
      <c r="C3">
        <v>19.850000000000001</v>
      </c>
      <c r="D3">
        <v>9.4499999999999993</v>
      </c>
      <c r="E3">
        <v>6.86</v>
      </c>
    </row>
    <row r="4" spans="1:9" x14ac:dyDescent="0.3">
      <c r="A4">
        <v>7.59</v>
      </c>
      <c r="B4">
        <v>7.88</v>
      </c>
      <c r="C4">
        <v>20.81</v>
      </c>
      <c r="D4">
        <v>9.91</v>
      </c>
      <c r="E4">
        <v>6.81</v>
      </c>
    </row>
    <row r="5" spans="1:9" x14ac:dyDescent="0.3">
      <c r="A5">
        <v>8.1</v>
      </c>
      <c r="B5">
        <v>7.64</v>
      </c>
      <c r="C5">
        <v>20.45</v>
      </c>
      <c r="D5">
        <v>10.02</v>
      </c>
      <c r="E5">
        <v>5.77</v>
      </c>
    </row>
    <row r="6" spans="1:9" x14ac:dyDescent="0.3">
      <c r="A6">
        <v>8.06</v>
      </c>
      <c r="B6">
        <v>6.95</v>
      </c>
      <c r="C6">
        <v>19.440000000000001</v>
      </c>
      <c r="D6">
        <v>9.2799999999999994</v>
      </c>
      <c r="E6">
        <v>7.76</v>
      </c>
      <c r="I6">
        <f>1-(0.95^0.25)</f>
        <v>1.2741455098566168E-2</v>
      </c>
    </row>
    <row r="7" spans="1:9" x14ac:dyDescent="0.3">
      <c r="A7">
        <v>9.19</v>
      </c>
      <c r="B7">
        <v>7.14</v>
      </c>
      <c r="C7">
        <v>19.920000000000002</v>
      </c>
      <c r="D7">
        <v>10.15</v>
      </c>
      <c r="E7">
        <v>6.72</v>
      </c>
    </row>
    <row r="8" spans="1:9" x14ac:dyDescent="0.3">
      <c r="A8">
        <v>8.34</v>
      </c>
      <c r="B8">
        <v>7.62</v>
      </c>
      <c r="C8">
        <v>18.690000000000001</v>
      </c>
      <c r="D8">
        <v>9.83</v>
      </c>
      <c r="E8">
        <v>7.5</v>
      </c>
    </row>
    <row r="9" spans="1:9" x14ac:dyDescent="0.3">
      <c r="A9">
        <v>7.91</v>
      </c>
      <c r="B9">
        <v>7.9</v>
      </c>
      <c r="C9">
        <v>20.02</v>
      </c>
      <c r="D9">
        <v>9.7200000000000006</v>
      </c>
      <c r="E9">
        <v>6.54</v>
      </c>
    </row>
    <row r="10" spans="1:9" x14ac:dyDescent="0.3">
      <c r="A10">
        <v>7.69</v>
      </c>
      <c r="B10">
        <v>8.0500000000000007</v>
      </c>
      <c r="C10">
        <v>21.66</v>
      </c>
      <c r="D10">
        <v>9.1199999999999992</v>
      </c>
      <c r="E10">
        <v>6.69</v>
      </c>
    </row>
    <row r="12" spans="1:9" x14ac:dyDescent="0.3">
      <c r="A12">
        <f>SUM(A1:A10)/10</f>
        <v>7.9679999999999991</v>
      </c>
      <c r="B12">
        <f t="shared" ref="B12:E12" si="0">SUM(B1:B10)/10</f>
        <v>7.5039999999999996</v>
      </c>
      <c r="C12">
        <f t="shared" si="0"/>
        <v>19.678000000000001</v>
      </c>
      <c r="D12">
        <f t="shared" si="0"/>
        <v>9.8230000000000004</v>
      </c>
      <c r="E12">
        <f t="shared" si="0"/>
        <v>6.8639999999999999</v>
      </c>
      <c r="G12" t="s">
        <v>0</v>
      </c>
    </row>
    <row r="13" spans="1:9" x14ac:dyDescent="0.3">
      <c r="A13">
        <f>VAR(A1:A10)</f>
        <v>0.26421777777777761</v>
      </c>
      <c r="B13">
        <f t="shared" ref="B13:E13" si="1">VAR(B1:B10)</f>
        <v>0.22940444444444447</v>
      </c>
      <c r="C13">
        <f t="shared" si="1"/>
        <v>1.447106666666667</v>
      </c>
      <c r="D13">
        <f t="shared" si="1"/>
        <v>0.18906777777777803</v>
      </c>
      <c r="E13">
        <f t="shared" si="1"/>
        <v>0.3570488888888888</v>
      </c>
      <c r="G13" t="s">
        <v>1</v>
      </c>
    </row>
    <row r="15" spans="1:9" x14ac:dyDescent="0.3">
      <c r="B15" s="1">
        <v>0</v>
      </c>
      <c r="C15" s="1">
        <f>SQRT((A13/10)+(B13/10))*2.66</f>
        <v>0.59098844282740037</v>
      </c>
      <c r="D15" s="1">
        <f>SQRT((A13/10)+(C13/10))*2.66</f>
        <v>1.1003929861240989</v>
      </c>
      <c r="E15" s="1">
        <f>SQRT((A13/10)+(D13/10))*2.66</f>
        <v>0.56632740326500985</v>
      </c>
      <c r="F15" s="1">
        <f>SQRT((A13/10)+(E13/10))*2.66</f>
        <v>0.66301089181601425</v>
      </c>
    </row>
    <row r="16" spans="1:9" x14ac:dyDescent="0.3">
      <c r="B16" s="1">
        <f>SQRT((A13/10)+(B13/10))*2.66</f>
        <v>0.59098844282740037</v>
      </c>
      <c r="C16" s="1">
        <v>0</v>
      </c>
      <c r="D16" s="1">
        <f>SQRT((B13/10)+(C13/10))*2.66</f>
        <v>1.0891428748230318</v>
      </c>
      <c r="E16" s="1">
        <f>SQRT((B13/10)+(D13/10))*2.66</f>
        <v>0.54414539008940965</v>
      </c>
      <c r="F16" s="1">
        <f>SQRT((B13/10)+(E13/10))*2.66</f>
        <v>0.64416684215607789</v>
      </c>
    </row>
    <row r="17" spans="1:8" x14ac:dyDescent="0.3">
      <c r="B17" s="1">
        <f>SQRT((A13/10)+(C13/10))*2.66</f>
        <v>1.1003929861240989</v>
      </c>
      <c r="C17" s="1">
        <f>SQRT((B13/10)+(C13/10))*2.66</f>
        <v>1.0891428748230318</v>
      </c>
      <c r="D17" s="1">
        <v>0</v>
      </c>
      <c r="E17" s="1">
        <f>SQRT((B13/10)+(D13/10))*2.66</f>
        <v>0.54414539008940965</v>
      </c>
      <c r="F17" s="1">
        <f>SQRT((B13/10)+(E13/10))*2.66</f>
        <v>0.64416684215607789</v>
      </c>
    </row>
    <row r="18" spans="1:8" x14ac:dyDescent="0.3">
      <c r="B18" s="1">
        <f>SQRT((A13/10)+(D13/10))*2.66</f>
        <v>0.56632740326500985</v>
      </c>
      <c r="C18" s="1">
        <f>SQRT((B13/10)+(D13/10))*2.66</f>
        <v>0.54414539008940965</v>
      </c>
      <c r="D18" s="1">
        <f>SQRT((B13/10)+(D13/10))*2.66</f>
        <v>0.54414539008940965</v>
      </c>
      <c r="E18" s="1">
        <v>0</v>
      </c>
      <c r="F18" s="1">
        <f>SQRT((D13/10)+(E13/10))*2.66</f>
        <v>0.62161910255932995</v>
      </c>
    </row>
    <row r="19" spans="1:8" x14ac:dyDescent="0.3">
      <c r="B19" s="1">
        <f>SQRT((A13/10)+(E13/10))*2.66</f>
        <v>0.66301089181601425</v>
      </c>
      <c r="C19" s="1">
        <f>SQRT((B13/10)+(E13/10))*2.66</f>
        <v>0.64416684215607789</v>
      </c>
      <c r="D19" s="1">
        <f>SQRT((B13/10)+(E13/10))*2.66</f>
        <v>0.64416684215607789</v>
      </c>
      <c r="E19" s="1">
        <f>SQRT((D13/10)+(E13/10))*2.66</f>
        <v>0.62161910255932995</v>
      </c>
      <c r="F19" s="1">
        <v>0</v>
      </c>
    </row>
    <row r="22" spans="1:8" x14ac:dyDescent="0.3">
      <c r="A22" t="s">
        <v>3</v>
      </c>
      <c r="B22" s="2" t="s">
        <v>2</v>
      </c>
      <c r="C22">
        <f>B12-C15</f>
        <v>6.9130115571725987</v>
      </c>
      <c r="D22">
        <f>C12-D15</f>
        <v>18.577607013875902</v>
      </c>
      <c r="E22">
        <f>D12-E15</f>
        <v>9.2566725967349903</v>
      </c>
      <c r="F22">
        <f>E12-F15</f>
        <v>6.2009891081839861</v>
      </c>
      <c r="H22" t="s">
        <v>4</v>
      </c>
    </row>
    <row r="23" spans="1:8" x14ac:dyDescent="0.3">
      <c r="A23" t="s">
        <v>5</v>
      </c>
      <c r="B23" s="2" t="s">
        <v>2</v>
      </c>
      <c r="C23">
        <f>A12-B16</f>
        <v>7.3770115571725992</v>
      </c>
      <c r="D23">
        <f>C12-D16</f>
        <v>18.588857125176968</v>
      </c>
      <c r="E23">
        <f>D12-E16</f>
        <v>9.2788546099105904</v>
      </c>
      <c r="F23">
        <f>E12-F16</f>
        <v>6.2198331578439223</v>
      </c>
      <c r="H23" t="s">
        <v>4</v>
      </c>
    </row>
    <row r="24" spans="1:8" x14ac:dyDescent="0.3">
      <c r="A24" t="s">
        <v>6</v>
      </c>
      <c r="B24" s="2" t="s">
        <v>2</v>
      </c>
      <c r="C24">
        <f>A12-B17</f>
        <v>6.8676070138759</v>
      </c>
      <c r="D24">
        <f>B12-C17</f>
        <v>6.4148571251769679</v>
      </c>
      <c r="E24">
        <f>D12-E17</f>
        <v>9.2788546099105904</v>
      </c>
      <c r="F24">
        <f>E12-F17</f>
        <v>6.2198331578439223</v>
      </c>
      <c r="H24" t="s">
        <v>7</v>
      </c>
    </row>
    <row r="25" spans="1:8" x14ac:dyDescent="0.3">
      <c r="A25" t="s">
        <v>8</v>
      </c>
      <c r="B25" s="2" t="s">
        <v>2</v>
      </c>
      <c r="C25">
        <f>A12-B18</f>
        <v>7.401672596734989</v>
      </c>
      <c r="D25">
        <f>B12-C18</f>
        <v>6.9598546099105896</v>
      </c>
      <c r="E25">
        <f>C12-D18</f>
        <v>19.133854609910593</v>
      </c>
      <c r="F25">
        <f>E12-F18</f>
        <v>6.24238089744067</v>
      </c>
      <c r="H25" t="s">
        <v>4</v>
      </c>
    </row>
    <row r="26" spans="1:8" x14ac:dyDescent="0.3">
      <c r="A26" t="s">
        <v>9</v>
      </c>
      <c r="B26" s="2" t="s">
        <v>2</v>
      </c>
      <c r="C26">
        <f>A12-B19</f>
        <v>7.3049891081839853</v>
      </c>
      <c r="D26">
        <f>B12-C19</f>
        <v>6.859833157843922</v>
      </c>
      <c r="E26">
        <f>C12-D19</f>
        <v>19.033833157843922</v>
      </c>
      <c r="F26">
        <f>D12-E19</f>
        <v>9.2013808974406697</v>
      </c>
      <c r="H2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5E4923AC150348A5690F246581549D" ma:contentTypeVersion="10" ma:contentTypeDescription="Creare un nuovo documento." ma:contentTypeScope="" ma:versionID="a1a22c6b29bfa080f7ea5365a9715497">
  <xsd:schema xmlns:xsd="http://www.w3.org/2001/XMLSchema" xmlns:xs="http://www.w3.org/2001/XMLSchema" xmlns:p="http://schemas.microsoft.com/office/2006/metadata/properties" xmlns:ns2="ebd3899b-a00e-4b87-b135-9668ba1ff0a8" xmlns:ns3="f4d7455b-7eb8-4547-8aa1-23b35c0ad67a" targetNamespace="http://schemas.microsoft.com/office/2006/metadata/properties" ma:root="true" ma:fieldsID="ba7f6b1bfd02c64454bc5c8858276bc0" ns2:_="" ns3:_="">
    <xsd:import namespace="ebd3899b-a00e-4b87-b135-9668ba1ff0a8"/>
    <xsd:import namespace="f4d7455b-7eb8-4547-8aa1-23b35c0ad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3899b-a00e-4b87-b135-9668ba1ff0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bb21486a-7a0a-4db4-9655-fe3ce8b761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7455b-7eb8-4547-8aa1-23b35c0ad6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bda41e-2cec-46c5-99d9-e71886c3e78a}" ma:internalName="TaxCatchAll" ma:showField="CatchAllData" ma:web="f4d7455b-7eb8-4547-8aa1-23b35c0ad6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d3899b-a00e-4b87-b135-9668ba1ff0a8">
      <Terms xmlns="http://schemas.microsoft.com/office/infopath/2007/PartnerControls"/>
    </lcf76f155ced4ddcb4097134ff3c332f>
    <TaxCatchAll xmlns="f4d7455b-7eb8-4547-8aa1-23b35c0ad67a" xsi:nil="true"/>
  </documentManagement>
</p:properties>
</file>

<file path=customXml/itemProps1.xml><?xml version="1.0" encoding="utf-8"?>
<ds:datastoreItem xmlns:ds="http://schemas.openxmlformats.org/officeDocument/2006/customXml" ds:itemID="{45CD977E-3465-48B4-92B6-E625C3BC55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A7FC37-89C0-4607-AC79-6CCB1DF7B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d3899b-a00e-4b87-b135-9668ba1ff0a8"/>
    <ds:schemaRef ds:uri="f4d7455b-7eb8-4547-8aa1-23b35c0ad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4942C8-E87A-4170-9BDB-1CD2B18CCAA5}">
  <ds:schemaRefs>
    <ds:schemaRef ds:uri="http://schemas.microsoft.com/office/2006/metadata/properties"/>
    <ds:schemaRef ds:uri="http://schemas.microsoft.com/office/infopath/2007/PartnerControls"/>
    <ds:schemaRef ds:uri="ebd3899b-a00e-4b87-b135-9668ba1ff0a8"/>
    <ds:schemaRef ds:uri="f4d7455b-7eb8-4547-8aa1-23b35c0ad6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Min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Mary Mazza</dc:creator>
  <cp:lastModifiedBy>Jhena Subol</cp:lastModifiedBy>
  <dcterms:created xsi:type="dcterms:W3CDTF">2025-12-02T15:25:17Z</dcterms:created>
  <dcterms:modified xsi:type="dcterms:W3CDTF">2026-01-20T07:38:02Z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0x010100BE5E4923AC150348A5690F246581549D</vt:lpwstr>
  </property>
</Properties>
</file>