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C:\Users\subol\Desktop\LM Telecom Engineering\Optimization\Final Project\excel\"/>
    </mc:Choice>
  </mc:AlternateContent>
  <xr:revisionPtr revIDLastSave="0" documentId="13_ncr:1_{46A903F9-D084-498A-903A-EB00233BD499}" xr6:coauthVersionLast="47" xr6:coauthVersionMax="47" xr10:uidLastSave="{00000000-0000-0000-0000-000000000000}"/>
  <bookViews>
    <workbookView xWindow="-108" yWindow="-108" windowWidth="23256" windowHeight="12456" xr2:uid="{7E7C9E89-C27C-4B7B-8AC6-EFB59D47D2DD}"/>
  </bookViews>
  <sheets>
    <sheet name="IZ-approach" sheetId="2" r:id="rId1"/>
    <sheet name="Foglio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2" i="2" l="1"/>
  <c r="P131" i="2"/>
  <c r="N132" i="2"/>
  <c r="N131" i="2"/>
  <c r="L132" i="2"/>
  <c r="L131" i="2"/>
  <c r="D18" i="2"/>
  <c r="C18" i="2"/>
  <c r="B18" i="2"/>
  <c r="D19" i="2"/>
  <c r="C19" i="2"/>
  <c r="B19" i="2"/>
  <c r="C21" i="2" s="1"/>
  <c r="C26" i="2" l="1"/>
  <c r="C27" i="2" s="1"/>
  <c r="C22" i="2"/>
</calcChain>
</file>

<file path=xl/sharedStrings.xml><?xml version="1.0" encoding="utf-8"?>
<sst xmlns="http://schemas.openxmlformats.org/spreadsheetml/2006/main" count="116" uniqueCount="109">
  <si>
    <t>Xi</t>
  </si>
  <si>
    <t>Si^2</t>
  </si>
  <si>
    <t>n=</t>
  </si>
  <si>
    <t>IZ-based Ranking and Selection (Bechhofer’s single-stage IZ procedure)</t>
  </si>
  <si>
    <t>0.85708</t>
  </si>
  <si>
    <t>0.68223</t>
  </si>
  <si>
    <t>critical constant c=</t>
  </si>
  <si>
    <t>N=</t>
  </si>
  <si>
    <t>delta=</t>
  </si>
  <si>
    <t>replications</t>
  </si>
  <si>
    <t>Replication</t>
  </si>
  <si>
    <t>Observations</t>
  </si>
  <si>
    <t>Initial Run</t>
  </si>
  <si>
    <t>Indifference-Zone Approach</t>
  </si>
  <si>
    <t>Average Wait Time (min)</t>
  </si>
  <si>
    <t>0.44335</t>
  </si>
  <si>
    <t>0.70351</t>
  </si>
  <si>
    <t>0.86777</t>
  </si>
  <si>
    <t>0.56563</t>
  </si>
  <si>
    <t>0.34824</t>
  </si>
  <si>
    <t>0.52139</t>
  </si>
  <si>
    <t>0.76450</t>
  </si>
  <si>
    <t>0.36144</t>
  </si>
  <si>
    <t>0.85132</t>
  </si>
  <si>
    <t>0.47940</t>
  </si>
  <si>
    <t>0.95115</t>
  </si>
  <si>
    <t>0.42167</t>
  </si>
  <si>
    <t>0.14093</t>
  </si>
  <si>
    <t>0.74844</t>
  </si>
  <si>
    <t>0.69850</t>
  </si>
  <si>
    <t>0.12867</t>
  </si>
  <si>
    <t>0.41909</t>
  </si>
  <si>
    <t>0.86646</t>
  </si>
  <si>
    <t>0.91695</t>
  </si>
  <si>
    <t>0.44606</t>
  </si>
  <si>
    <t>0.54980</t>
  </si>
  <si>
    <t>0.58448</t>
  </si>
  <si>
    <t>0.31744</t>
  </si>
  <si>
    <t>0.29007</t>
  </si>
  <si>
    <t>0.39269</t>
  </si>
  <si>
    <t>0.63839</t>
  </si>
  <si>
    <t>0.22294</t>
  </si>
  <si>
    <t>0.43006</t>
  </si>
  <si>
    <t>0.55091</t>
  </si>
  <si>
    <t>0.76003</t>
  </si>
  <si>
    <t>0.64486</t>
  </si>
  <si>
    <t>0.54268</t>
  </si>
  <si>
    <t>0.61532</t>
  </si>
  <si>
    <t>0.45016</t>
  </si>
  <si>
    <t>0.41009</t>
  </si>
  <si>
    <t>0.31954</t>
  </si>
  <si>
    <t>0.84002</t>
  </si>
  <si>
    <t>0.39055</t>
  </si>
  <si>
    <t>0.90639</t>
  </si>
  <si>
    <t>0.92611</t>
  </si>
  <si>
    <t>0.27844</t>
  </si>
  <si>
    <t>0.43804</t>
  </si>
  <si>
    <t>0.77660</t>
  </si>
  <si>
    <t>0.94634</t>
  </si>
  <si>
    <t>0.49023</t>
  </si>
  <si>
    <t>0.60465</t>
  </si>
  <si>
    <t>0.64607</t>
  </si>
  <si>
    <t>0.40293</t>
  </si>
  <si>
    <t>0.72692</t>
  </si>
  <si>
    <t>0.27616</t>
  </si>
  <si>
    <t>0.55655</t>
  </si>
  <si>
    <t>0.31320</t>
  </si>
  <si>
    <t>0.33405</t>
  </si>
  <si>
    <t>0.61142</t>
  </si>
  <si>
    <t>0.40972</t>
  </si>
  <si>
    <t>0.30765</t>
  </si>
  <si>
    <t>0.92344</t>
  </si>
  <si>
    <t>0.85242</t>
  </si>
  <si>
    <t>0.69963</t>
  </si>
  <si>
    <t>0.55275</t>
  </si>
  <si>
    <t>0.43694</t>
  </si>
  <si>
    <t>0.31945</t>
  </si>
  <si>
    <t>0.46092</t>
  </si>
  <si>
    <t>0.87817</t>
  </si>
  <si>
    <t>0.65354</t>
  </si>
  <si>
    <t>0.45974</t>
  </si>
  <si>
    <t>0.34726</t>
  </si>
  <si>
    <t>0.38773</t>
  </si>
  <si>
    <t>0.50905</t>
  </si>
  <si>
    <t>0.56975</t>
  </si>
  <si>
    <t>0.97589</t>
  </si>
  <si>
    <t>0.34782</t>
  </si>
  <si>
    <t>0.66516</t>
  </si>
  <si>
    <t>0.17103</t>
  </si>
  <si>
    <t>0.71800</t>
  </si>
  <si>
    <t>0.58879</t>
  </si>
  <si>
    <t>0.33004</t>
  </si>
  <si>
    <t>0.42219</t>
  </si>
  <si>
    <t>0.79212</t>
  </si>
  <si>
    <t>0.99758</t>
  </si>
  <si>
    <t>0.16690</t>
  </si>
  <si>
    <t>0.25528</t>
  </si>
  <si>
    <t>0.83864</t>
  </si>
  <si>
    <t>0.51209</t>
  </si>
  <si>
    <t>0.46919</t>
  </si>
  <si>
    <t>Avg W_q(min)</t>
  </si>
  <si>
    <t>Obs</t>
  </si>
  <si>
    <t>Alternative 1</t>
  </si>
  <si>
    <t>Vehicle.WaitTime (Average)</t>
  </si>
  <si>
    <t>Alternative 2</t>
  </si>
  <si>
    <t>Alternative 3</t>
  </si>
  <si>
    <t>Pooled variance=</t>
  </si>
  <si>
    <t>pooled SD=</t>
  </si>
  <si>
    <t xml:space="preserve">                i=
n=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</si>
</sst>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3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 diagonalDown="1">
      <left/>
      <right style="thin">
        <color indexed="64"/>
      </right>
      <top/>
      <bottom style="double">
        <color indexed="64"/>
      </bottom>
      <diagonal style="thin">
        <color indexed="64"/>
      </diagonal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2" xfId="0" applyBorder="1"/>
    <xf numFmtId="0" fontId="2" fillId="0" borderId="3" xfId="0" applyFont="1" applyBorder="1"/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64" fontId="0" fillId="0" borderId="0" xfId="0" applyNumberFormat="1"/>
    <xf numFmtId="0" fontId="4" fillId="0" borderId="0" xfId="0" applyFont="1"/>
    <xf numFmtId="164" fontId="2" fillId="0" borderId="0" xfId="0" applyNumberFormat="1" applyFont="1"/>
    <xf numFmtId="0" fontId="2" fillId="0" borderId="8" xfId="0" applyFont="1" applyBorder="1" applyAlignment="1">
      <alignment wrapText="1"/>
    </xf>
    <xf numFmtId="0" fontId="2" fillId="0" borderId="9" xfId="0" applyFont="1" applyBorder="1"/>
    <xf numFmtId="0" fontId="0" fillId="2" borderId="0" xfId="0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0" fillId="3" borderId="17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2" fillId="0" borderId="12" xfId="0" applyFont="1" applyBorder="1"/>
    <xf numFmtId="0" fontId="2" fillId="0" borderId="14" xfId="0" applyFont="1" applyBorder="1"/>
    <xf numFmtId="0" fontId="0" fillId="4" borderId="17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0" fillId="4" borderId="7" xfId="0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5" borderId="17" xfId="0" applyFill="1" applyBorder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0" fillId="5" borderId="7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0" fillId="0" borderId="0" xfId="0" quotePrefix="1"/>
    <xf numFmtId="0" fontId="2" fillId="0" borderId="2" xfId="0" applyFont="1" applyBorder="1"/>
    <xf numFmtId="0" fontId="0" fillId="6" borderId="5" xfId="0" applyFill="1" applyBorder="1"/>
    <xf numFmtId="0" fontId="0" fillId="6" borderId="18" xfId="0" applyFill="1" applyBorder="1"/>
    <xf numFmtId="0" fontId="0" fillId="6" borderId="7" xfId="0" applyFill="1" applyBorder="1"/>
    <xf numFmtId="0" fontId="0" fillId="6" borderId="4" xfId="0" applyFill="1" applyBorder="1"/>
    <xf numFmtId="0" fontId="0" fillId="7" borderId="5" xfId="0" applyFill="1" applyBorder="1"/>
    <xf numFmtId="0" fontId="0" fillId="7" borderId="18" xfId="0" applyFill="1" applyBorder="1"/>
    <xf numFmtId="0" fontId="0" fillId="7" borderId="7" xfId="0" applyFill="1" applyBorder="1"/>
    <xf numFmtId="0" fontId="0" fillId="7" borderId="4" xfId="0" applyFill="1" applyBorder="1"/>
    <xf numFmtId="0" fontId="0" fillId="8" borderId="5" xfId="0" applyFill="1" applyBorder="1"/>
    <xf numFmtId="0" fontId="0" fillId="8" borderId="18" xfId="0" applyFill="1" applyBorder="1"/>
    <xf numFmtId="0" fontId="0" fillId="8" borderId="7" xfId="0" applyFill="1" applyBorder="1"/>
    <xf numFmtId="0" fontId="0" fillId="8" borderId="4" xfId="0" applyFill="1" applyBorder="1"/>
    <xf numFmtId="0" fontId="2" fillId="5" borderId="10" xfId="0" applyFont="1" applyFill="1" applyBorder="1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1" xfId="1" applyFont="1" applyAlignment="1">
      <alignment horizontal="center" vertical="center" wrapText="1"/>
    </xf>
    <xf numFmtId="0" fontId="1" fillId="0" borderId="1" xfId="1" applyAlignment="1">
      <alignment horizontal="center" vertical="center" wrapText="1"/>
    </xf>
    <xf numFmtId="0" fontId="2" fillId="3" borderId="11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</cellXfs>
  <cellStyles count="2">
    <cellStyle name="Normale" xfId="0" builtinId="0"/>
    <cellStyle name="Titolo 1" xfId="1" builtinId="16"/>
  </cellStyles>
  <dxfs count="2"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207817</xdr:colOff>
      <xdr:row>27</xdr:row>
      <xdr:rowOff>158338</xdr:rowOff>
    </xdr:from>
    <xdr:to>
      <xdr:col>2</xdr:col>
      <xdr:colOff>626344</xdr:colOff>
      <xdr:row>30</xdr:row>
      <xdr:rowOff>19793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8B7EDF76-19B8-0BAA-61C8-6B9C35960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17" y="5215247"/>
          <a:ext cx="1645644" cy="395844"/>
        </a:xfrm>
        <a:prstGeom prst="rect">
          <a:avLst/>
        </a:prstGeom>
      </xdr:spPr>
    </xdr:pic>
    <xdr:clientData/>
  </xdr:twoCellAnchor>
  <xdr:twoCellAnchor editAs="oneCell">
    <xdr:from>
      <xdr:col>4</xdr:col>
      <xdr:colOff>7256</xdr:colOff>
      <xdr:row>19</xdr:row>
      <xdr:rowOff>157356</xdr:rowOff>
    </xdr:from>
    <xdr:to>
      <xdr:col>7</xdr:col>
      <xdr:colOff>197823</xdr:colOff>
      <xdr:row>22</xdr:row>
      <xdr:rowOff>31405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108C66D9-4619-4D4D-F85F-1E063DAEF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4685" y="4381013"/>
          <a:ext cx="2019367" cy="4183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40AF2E0-EEAC-4A25-9E38-3596C855902B}">
  <we:reference id="wa200000113" version="1.0.0.0" store="it-IT" storeType="OMEX"/>
  <we:alternateReferences>
    <we:reference id="WA200000113" version="1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B12E9-39F2-4569-966B-278589AAB727}">
  <sheetPr codeName="Foglio1"/>
  <dimension ref="A1:S132"/>
  <sheetViews>
    <sheetView tabSelected="1" zoomScale="83" zoomScaleNormal="72" workbookViewId="0">
      <selection activeCell="G6" sqref="G6"/>
    </sheetView>
  </sheetViews>
  <sheetFormatPr defaultRowHeight="14.4" x14ac:dyDescent="0.3"/>
  <cols>
    <col min="3" max="3" width="9.33203125" bestFit="1" customWidth="1"/>
    <col min="8" max="8" width="10.88671875" customWidth="1"/>
    <col min="9" max="9" width="11.6640625" customWidth="1"/>
    <col min="10" max="10" width="14.77734375" customWidth="1"/>
    <col min="12" max="12" width="10" customWidth="1"/>
    <col min="13" max="13" width="6.88671875" customWidth="1"/>
  </cols>
  <sheetData>
    <row r="1" spans="1:19" ht="15" thickBot="1" x14ac:dyDescent="0.35">
      <c r="B1" s="54" t="s">
        <v>3</v>
      </c>
      <c r="C1" s="55"/>
      <c r="D1" s="55"/>
      <c r="E1" s="55"/>
      <c r="I1" s="2"/>
    </row>
    <row r="2" spans="1:19" ht="15.6" thickTop="1" thickBot="1" x14ac:dyDescent="0.35">
      <c r="B2" s="55"/>
      <c r="C2" s="55"/>
      <c r="D2" s="55"/>
      <c r="E2" s="55"/>
      <c r="I2" s="2"/>
      <c r="M2" s="11"/>
    </row>
    <row r="3" spans="1:19" ht="15" thickTop="1" x14ac:dyDescent="0.3"/>
    <row r="4" spans="1:19" x14ac:dyDescent="0.3">
      <c r="A4" s="14" t="s">
        <v>2</v>
      </c>
      <c r="B4" s="14">
        <v>10</v>
      </c>
      <c r="H4" s="2"/>
      <c r="I4" s="2"/>
      <c r="J4" s="2"/>
      <c r="K4" s="14">
        <v>124</v>
      </c>
      <c r="L4" s="37"/>
      <c r="M4" s="53" t="s">
        <v>13</v>
      </c>
      <c r="N4" s="53"/>
      <c r="O4" s="53"/>
      <c r="P4" s="37"/>
      <c r="Q4" s="37"/>
    </row>
    <row r="5" spans="1:19" x14ac:dyDescent="0.3">
      <c r="A5" s="53" t="s">
        <v>12</v>
      </c>
      <c r="B5" s="53"/>
      <c r="C5" s="53"/>
      <c r="D5" s="53"/>
      <c r="F5" s="2"/>
      <c r="G5" s="2"/>
      <c r="H5" s="2"/>
      <c r="I5" s="2"/>
      <c r="K5" s="51" t="s">
        <v>10</v>
      </c>
      <c r="L5" s="56" t="s">
        <v>102</v>
      </c>
      <c r="M5" s="57"/>
      <c r="N5" s="58" t="s">
        <v>104</v>
      </c>
      <c r="O5" s="58"/>
      <c r="P5" s="50" t="s">
        <v>105</v>
      </c>
      <c r="Q5" s="50"/>
    </row>
    <row r="6" spans="1:19" ht="72.599999999999994" thickBot="1" x14ac:dyDescent="0.35">
      <c r="A6" s="12" t="s">
        <v>108</v>
      </c>
      <c r="B6" s="13">
        <v>1</v>
      </c>
      <c r="C6" s="13">
        <v>2</v>
      </c>
      <c r="D6" s="13">
        <v>3</v>
      </c>
      <c r="E6" s="2"/>
      <c r="F6" s="35"/>
      <c r="G6" s="2"/>
      <c r="H6" s="2"/>
      <c r="I6" s="2"/>
      <c r="J6" s="2"/>
      <c r="K6" s="52"/>
      <c r="L6" s="20" t="s">
        <v>100</v>
      </c>
      <c r="M6" s="20" t="s">
        <v>101</v>
      </c>
      <c r="N6" s="21" t="s">
        <v>103</v>
      </c>
      <c r="O6" s="21" t="s">
        <v>11</v>
      </c>
      <c r="P6" s="22" t="s">
        <v>103</v>
      </c>
      <c r="Q6" s="22" t="s">
        <v>11</v>
      </c>
      <c r="S6" s="15"/>
    </row>
    <row r="7" spans="1:19" ht="15" thickTop="1" x14ac:dyDescent="0.3">
      <c r="A7" s="4">
        <v>1</v>
      </c>
      <c r="B7">
        <v>0.27422999999999997</v>
      </c>
      <c r="C7">
        <v>0.10792</v>
      </c>
      <c r="D7">
        <v>0.25695000000000001</v>
      </c>
      <c r="F7" s="2"/>
      <c r="K7" s="18">
        <v>1</v>
      </c>
      <c r="L7" s="23">
        <v>0.44335000000000002</v>
      </c>
      <c r="M7" s="24">
        <v>34</v>
      </c>
      <c r="N7" s="27">
        <v>0.14849999999999999</v>
      </c>
      <c r="O7" s="28">
        <v>34</v>
      </c>
      <c r="P7" s="31">
        <v>0.44335000000000002</v>
      </c>
      <c r="Q7" s="32">
        <v>34</v>
      </c>
      <c r="S7" s="16"/>
    </row>
    <row r="8" spans="1:19" x14ac:dyDescent="0.3">
      <c r="A8" s="4">
        <v>2</v>
      </c>
      <c r="B8">
        <v>2.7887</v>
      </c>
      <c r="C8">
        <v>1.5622</v>
      </c>
      <c r="D8">
        <v>2.7862</v>
      </c>
      <c r="F8" s="2"/>
      <c r="K8" s="18">
        <v>2</v>
      </c>
      <c r="L8" s="23">
        <v>1.1651</v>
      </c>
      <c r="M8" s="24">
        <v>200</v>
      </c>
      <c r="N8" s="27">
        <v>0.89278999999999997</v>
      </c>
      <c r="O8" s="28">
        <v>226</v>
      </c>
      <c r="P8" s="31">
        <v>1.1493</v>
      </c>
      <c r="Q8" s="32">
        <v>200</v>
      </c>
      <c r="S8" s="16"/>
    </row>
    <row r="9" spans="1:19" x14ac:dyDescent="0.3">
      <c r="A9" s="4">
        <v>3</v>
      </c>
      <c r="B9">
        <v>1.0053000000000001</v>
      </c>
      <c r="C9">
        <v>0.19572000000000001</v>
      </c>
      <c r="D9">
        <v>0.99409000000000003</v>
      </c>
      <c r="F9" s="2"/>
      <c r="K9" s="18">
        <v>3</v>
      </c>
      <c r="L9" s="23">
        <v>0.70350999999999997</v>
      </c>
      <c r="M9" s="24">
        <v>63</v>
      </c>
      <c r="N9" s="27">
        <v>0.52952999999999995</v>
      </c>
      <c r="O9" s="28">
        <v>61</v>
      </c>
      <c r="P9" s="31">
        <v>0.70350999999999997</v>
      </c>
      <c r="Q9" s="32">
        <v>63</v>
      </c>
      <c r="S9" s="16"/>
    </row>
    <row r="10" spans="1:19" x14ac:dyDescent="0.3">
      <c r="A10" s="4">
        <v>4</v>
      </c>
      <c r="B10">
        <v>4.1337000000000002</v>
      </c>
      <c r="C10">
        <v>3.4988999999999999</v>
      </c>
      <c r="D10">
        <v>4.5220000000000002</v>
      </c>
      <c r="F10" s="2"/>
      <c r="K10" s="18">
        <v>4</v>
      </c>
      <c r="L10" s="23">
        <v>2.8123999999999998</v>
      </c>
      <c r="M10" s="24">
        <v>468</v>
      </c>
      <c r="N10" s="27">
        <v>2.5156999999999998</v>
      </c>
      <c r="O10" s="28">
        <v>450</v>
      </c>
      <c r="P10" s="31">
        <v>2.8226</v>
      </c>
      <c r="Q10" s="32">
        <v>468</v>
      </c>
      <c r="S10" s="16"/>
    </row>
    <row r="11" spans="1:19" x14ac:dyDescent="0.3">
      <c r="A11" s="4">
        <v>5</v>
      </c>
      <c r="B11" t="s">
        <v>4</v>
      </c>
      <c r="C11" t="s">
        <v>5</v>
      </c>
      <c r="D11">
        <v>0.85160999999999998</v>
      </c>
      <c r="F11" s="2"/>
      <c r="K11" s="18">
        <v>5</v>
      </c>
      <c r="L11" s="23">
        <v>0.86777000000000004</v>
      </c>
      <c r="M11" s="24">
        <v>267</v>
      </c>
      <c r="N11" s="27">
        <v>0.50083999999999995</v>
      </c>
      <c r="O11" s="28">
        <v>276</v>
      </c>
      <c r="P11" s="31">
        <v>0.84636</v>
      </c>
      <c r="Q11" s="32">
        <v>267</v>
      </c>
      <c r="S11" s="16"/>
    </row>
    <row r="12" spans="1:19" x14ac:dyDescent="0.3">
      <c r="A12" s="4">
        <v>6</v>
      </c>
      <c r="B12">
        <v>0.93479000000000001</v>
      </c>
      <c r="C12">
        <v>0.47367999999999999</v>
      </c>
      <c r="D12">
        <v>0.96118999999999999</v>
      </c>
      <c r="F12" s="2"/>
      <c r="K12" s="18">
        <v>6</v>
      </c>
      <c r="L12" s="23">
        <v>1.3337000000000001</v>
      </c>
      <c r="M12" s="24">
        <v>219</v>
      </c>
      <c r="N12" s="27">
        <v>0.48046</v>
      </c>
      <c r="O12" s="28">
        <v>223</v>
      </c>
      <c r="P12" s="31">
        <v>1.3210999999999999</v>
      </c>
      <c r="Q12" s="32">
        <v>219</v>
      </c>
      <c r="S12" s="16"/>
    </row>
    <row r="13" spans="1:19" x14ac:dyDescent="0.3">
      <c r="A13" s="4">
        <v>7</v>
      </c>
      <c r="B13">
        <v>1.3006</v>
      </c>
      <c r="C13">
        <v>0.78305000000000002</v>
      </c>
      <c r="D13">
        <v>1.286</v>
      </c>
      <c r="F13" s="2"/>
      <c r="H13" s="36"/>
      <c r="K13" s="18">
        <v>7</v>
      </c>
      <c r="L13" s="23">
        <v>0.56562999999999997</v>
      </c>
      <c r="M13" s="24">
        <v>151</v>
      </c>
      <c r="N13" s="27">
        <v>0.32529000000000002</v>
      </c>
      <c r="O13" s="28">
        <v>174</v>
      </c>
      <c r="P13" s="31">
        <v>0.50131999999999999</v>
      </c>
      <c r="Q13" s="32">
        <v>149</v>
      </c>
      <c r="S13" s="16"/>
    </row>
    <row r="14" spans="1:19" x14ac:dyDescent="0.3">
      <c r="A14" s="4">
        <v>8</v>
      </c>
      <c r="B14">
        <v>0.83015000000000005</v>
      </c>
      <c r="C14">
        <v>0.63129999999999997</v>
      </c>
      <c r="D14">
        <v>0.83015000000000005</v>
      </c>
      <c r="F14" s="2"/>
      <c r="K14" s="18">
        <v>8</v>
      </c>
      <c r="L14" s="23">
        <v>0.34823999999999999</v>
      </c>
      <c r="M14" s="24">
        <v>52</v>
      </c>
      <c r="N14" s="27">
        <v>0.39585999999999999</v>
      </c>
      <c r="O14" s="28">
        <v>49</v>
      </c>
      <c r="P14" s="31">
        <v>0.34823999999999999</v>
      </c>
      <c r="Q14" s="32">
        <v>52</v>
      </c>
      <c r="S14" s="16"/>
    </row>
    <row r="15" spans="1:19" x14ac:dyDescent="0.3">
      <c r="A15" s="4">
        <v>9</v>
      </c>
      <c r="B15">
        <v>1.0682</v>
      </c>
      <c r="C15">
        <v>0.34517999999999999</v>
      </c>
      <c r="D15">
        <v>1.0959000000000001</v>
      </c>
      <c r="F15" s="2"/>
      <c r="K15" s="18">
        <v>9</v>
      </c>
      <c r="L15" s="23">
        <v>0.52139000000000002</v>
      </c>
      <c r="M15" s="24">
        <v>235</v>
      </c>
      <c r="N15" s="27">
        <v>0.25128</v>
      </c>
      <c r="O15" s="28">
        <v>235</v>
      </c>
      <c r="P15" s="31">
        <v>0.49370000000000003</v>
      </c>
      <c r="Q15" s="32">
        <v>230</v>
      </c>
      <c r="S15" s="16"/>
    </row>
    <row r="16" spans="1:19" x14ac:dyDescent="0.3">
      <c r="A16" s="5">
        <v>10</v>
      </c>
      <c r="B16" s="3">
        <v>0.47949000000000003</v>
      </c>
      <c r="C16" s="3">
        <v>0.29913000000000001</v>
      </c>
      <c r="D16" s="3">
        <v>0.47949000000000003</v>
      </c>
      <c r="F16" s="2"/>
      <c r="J16" s="10"/>
      <c r="K16" s="18">
        <v>10</v>
      </c>
      <c r="L16" s="23">
        <v>0.76449999999999996</v>
      </c>
      <c r="M16" s="24">
        <v>88</v>
      </c>
      <c r="N16" s="27">
        <v>0.47158</v>
      </c>
      <c r="O16" s="28">
        <v>86</v>
      </c>
      <c r="P16" s="31">
        <v>0.76449999999999996</v>
      </c>
      <c r="Q16" s="32">
        <v>88</v>
      </c>
      <c r="S16" s="16"/>
    </row>
    <row r="17" spans="1:19" x14ac:dyDescent="0.3">
      <c r="A17" s="2"/>
      <c r="F17" s="2"/>
      <c r="K17" s="18">
        <v>11</v>
      </c>
      <c r="L17" s="23">
        <v>0.36143999999999998</v>
      </c>
      <c r="M17" s="24">
        <v>86</v>
      </c>
      <c r="N17" s="27">
        <v>0.14302000000000001</v>
      </c>
      <c r="O17" s="28">
        <v>88</v>
      </c>
      <c r="P17" s="31">
        <v>0.36143999999999998</v>
      </c>
      <c r="Q17" s="32">
        <v>86</v>
      </c>
      <c r="S17" s="16"/>
    </row>
    <row r="18" spans="1:19" x14ac:dyDescent="0.3">
      <c r="A18" s="2" t="s">
        <v>0</v>
      </c>
      <c r="B18" s="6">
        <f>SUM(B7:B16)/B4</f>
        <v>1.2815160000000001</v>
      </c>
      <c r="C18" s="7">
        <f>SUM(C7:C16)/B4</f>
        <v>0.78970799999999997</v>
      </c>
      <c r="D18" s="7">
        <f>SUM(D7:D16)/B4</f>
        <v>1.406358</v>
      </c>
      <c r="F18" s="2"/>
      <c r="K18" s="18">
        <v>12</v>
      </c>
      <c r="L18" s="23">
        <v>0.85131999999999997</v>
      </c>
      <c r="M18" s="24">
        <v>146</v>
      </c>
      <c r="N18" s="27">
        <v>0.61751</v>
      </c>
      <c r="O18" s="28">
        <v>158</v>
      </c>
      <c r="P18" s="31">
        <v>0.85131999999999997</v>
      </c>
      <c r="Q18" s="32">
        <v>146</v>
      </c>
      <c r="S18" s="16"/>
    </row>
    <row r="19" spans="1:19" x14ac:dyDescent="0.3">
      <c r="A19" s="2" t="s">
        <v>1</v>
      </c>
      <c r="B19" s="8">
        <f>VAR(B7:B16)</f>
        <v>1.5410081788999994</v>
      </c>
      <c r="C19" s="3">
        <f t="shared" ref="C19:D19" si="0">VAR(C7:C16)</f>
        <v>1.1560139561750002</v>
      </c>
      <c r="D19" s="3">
        <f t="shared" si="0"/>
        <v>1.6566869699733335</v>
      </c>
      <c r="E19" s="10"/>
      <c r="F19" s="2"/>
      <c r="K19" s="18">
        <v>13</v>
      </c>
      <c r="L19" s="23">
        <v>0.47939999999999999</v>
      </c>
      <c r="M19" s="24">
        <v>93</v>
      </c>
      <c r="N19" s="27">
        <v>0.50619999999999998</v>
      </c>
      <c r="O19" s="28">
        <v>86</v>
      </c>
      <c r="P19" s="31">
        <v>0.47939999999999999</v>
      </c>
      <c r="Q19" s="32">
        <v>93</v>
      </c>
      <c r="S19" s="16"/>
    </row>
    <row r="20" spans="1:19" x14ac:dyDescent="0.3">
      <c r="A20" s="2"/>
      <c r="F20" s="2"/>
      <c r="K20" s="18">
        <v>14</v>
      </c>
      <c r="L20" s="23">
        <v>0.95115000000000005</v>
      </c>
      <c r="M20" s="24">
        <v>111</v>
      </c>
      <c r="N20" s="27">
        <v>0.71860000000000002</v>
      </c>
      <c r="O20" s="28">
        <v>111</v>
      </c>
      <c r="P20" s="31">
        <v>0.95115000000000005</v>
      </c>
      <c r="Q20" s="32">
        <v>111</v>
      </c>
      <c r="S20" s="16"/>
    </row>
    <row r="21" spans="1:19" x14ac:dyDescent="0.3">
      <c r="A21" s="2" t="s">
        <v>106</v>
      </c>
      <c r="C21">
        <f>SUM(B19:D19)/3</f>
        <v>1.4512363683494443</v>
      </c>
      <c r="F21" s="2"/>
      <c r="K21" s="18">
        <v>15</v>
      </c>
      <c r="L21" s="23">
        <v>0.42166999999999999</v>
      </c>
      <c r="M21" s="24">
        <v>169</v>
      </c>
      <c r="N21" s="27">
        <v>0.56435000000000002</v>
      </c>
      <c r="O21" s="28">
        <v>179</v>
      </c>
      <c r="P21" s="31">
        <v>0.42166999999999999</v>
      </c>
      <c r="Q21" s="32">
        <v>169</v>
      </c>
      <c r="S21" s="16"/>
    </row>
    <row r="22" spans="1:19" x14ac:dyDescent="0.3">
      <c r="A22" s="2" t="s">
        <v>107</v>
      </c>
      <c r="C22">
        <f>SQRT(C21)</f>
        <v>1.2046727225057619</v>
      </c>
      <c r="F22" s="2"/>
      <c r="K22" s="18">
        <v>16</v>
      </c>
      <c r="L22" s="23">
        <v>0.14093</v>
      </c>
      <c r="M22" s="24">
        <v>28</v>
      </c>
      <c r="N22" s="27">
        <v>1.7160000000000002E-2</v>
      </c>
      <c r="O22" s="28">
        <v>33</v>
      </c>
      <c r="P22" s="31">
        <v>0.14093</v>
      </c>
      <c r="Q22" s="32">
        <v>28</v>
      </c>
      <c r="S22" s="16"/>
    </row>
    <row r="23" spans="1:19" x14ac:dyDescent="0.3">
      <c r="A23" s="2" t="s">
        <v>6</v>
      </c>
      <c r="C23">
        <v>2.7101000000000002</v>
      </c>
      <c r="F23" s="2"/>
      <c r="K23" s="18">
        <v>17</v>
      </c>
      <c r="L23" s="23">
        <v>0.74843999999999999</v>
      </c>
      <c r="M23" s="24">
        <v>181</v>
      </c>
      <c r="N23" s="27">
        <v>0.25323000000000001</v>
      </c>
      <c r="O23" s="28">
        <v>167</v>
      </c>
      <c r="P23" s="31">
        <v>0.74843999999999999</v>
      </c>
      <c r="Q23" s="32">
        <v>181</v>
      </c>
      <c r="S23" s="16"/>
    </row>
    <row r="24" spans="1:19" x14ac:dyDescent="0.3">
      <c r="A24" s="2" t="s">
        <v>8</v>
      </c>
      <c r="C24">
        <v>0.12484199999999999</v>
      </c>
      <c r="F24" s="2"/>
      <c r="K24" s="18">
        <v>18</v>
      </c>
      <c r="L24" s="23">
        <v>2.5165999999999999</v>
      </c>
      <c r="M24" s="24">
        <v>360</v>
      </c>
      <c r="N24" s="27">
        <v>1.6608000000000001</v>
      </c>
      <c r="O24" s="28">
        <v>345</v>
      </c>
      <c r="P24" s="31">
        <v>2.5116999999999998</v>
      </c>
      <c r="Q24" s="32">
        <v>360</v>
      </c>
      <c r="S24" s="16"/>
    </row>
    <row r="25" spans="1:19" x14ac:dyDescent="0.3">
      <c r="F25" s="2"/>
      <c r="K25" s="18">
        <v>19</v>
      </c>
      <c r="L25" s="23">
        <v>0.69850000000000001</v>
      </c>
      <c r="M25" s="24">
        <v>70</v>
      </c>
      <c r="N25" s="27">
        <v>5.314E-2</v>
      </c>
      <c r="O25" s="28">
        <v>59</v>
      </c>
      <c r="P25" s="31">
        <v>0.69850000000000001</v>
      </c>
      <c r="Q25" s="32">
        <v>70</v>
      </c>
      <c r="S25" s="16"/>
    </row>
    <row r="26" spans="1:19" x14ac:dyDescent="0.3">
      <c r="A26" s="2" t="s">
        <v>7</v>
      </c>
      <c r="C26">
        <f>(C23^2*C21^2)/C24</f>
        <v>123.90425524710855</v>
      </c>
      <c r="F26" s="2"/>
      <c r="K26" s="18">
        <v>20</v>
      </c>
      <c r="L26" s="23">
        <v>0.12867000000000001</v>
      </c>
      <c r="M26" s="24">
        <v>36</v>
      </c>
      <c r="N26" s="27">
        <v>4.8779999999999997E-2</v>
      </c>
      <c r="O26" s="28">
        <v>36</v>
      </c>
      <c r="P26" s="31">
        <v>0.12867000000000001</v>
      </c>
      <c r="Q26" s="32">
        <v>36</v>
      </c>
      <c r="S26" s="16"/>
    </row>
    <row r="27" spans="1:19" x14ac:dyDescent="0.3">
      <c r="C27">
        <f>_xlfn.CEILING.MATH(C26,1)</f>
        <v>124</v>
      </c>
      <c r="D27" t="s">
        <v>9</v>
      </c>
      <c r="F27" s="2"/>
      <c r="K27" s="18">
        <v>21</v>
      </c>
      <c r="L27" s="23">
        <v>0.41909000000000002</v>
      </c>
      <c r="M27" s="24">
        <v>139</v>
      </c>
      <c r="N27" s="27">
        <v>0.13292999999999999</v>
      </c>
      <c r="O27" s="28">
        <v>143</v>
      </c>
      <c r="P27" s="31">
        <v>0.41909000000000002</v>
      </c>
      <c r="Q27" s="32">
        <v>139</v>
      </c>
      <c r="S27" s="16"/>
    </row>
    <row r="28" spans="1:19" x14ac:dyDescent="0.3">
      <c r="F28" s="2"/>
      <c r="K28" s="18">
        <v>22</v>
      </c>
      <c r="L28" s="23">
        <v>0.86646000000000001</v>
      </c>
      <c r="M28" s="24">
        <v>126</v>
      </c>
      <c r="N28" s="27">
        <v>0.4148</v>
      </c>
      <c r="O28" s="28">
        <v>107</v>
      </c>
      <c r="P28" s="31">
        <v>0.86646000000000001</v>
      </c>
      <c r="Q28" s="32">
        <v>126</v>
      </c>
      <c r="S28" s="16"/>
    </row>
    <row r="29" spans="1:19" x14ac:dyDescent="0.3">
      <c r="F29" s="2"/>
      <c r="K29" s="18">
        <v>23</v>
      </c>
      <c r="L29" s="23">
        <v>0.91695000000000004</v>
      </c>
      <c r="M29" s="24">
        <v>96</v>
      </c>
      <c r="N29" s="27">
        <v>0.56006</v>
      </c>
      <c r="O29" s="28">
        <v>88</v>
      </c>
      <c r="P29" s="31">
        <v>0.91215999999999997</v>
      </c>
      <c r="Q29" s="32">
        <v>96</v>
      </c>
      <c r="S29" s="16"/>
    </row>
    <row r="30" spans="1:19" x14ac:dyDescent="0.3">
      <c r="B30" s="9"/>
      <c r="C30" s="1"/>
      <c r="K30" s="18">
        <v>24</v>
      </c>
      <c r="L30" s="23">
        <v>0.44606000000000001</v>
      </c>
      <c r="M30" s="24">
        <v>121</v>
      </c>
      <c r="N30" s="27">
        <v>3.456E-2</v>
      </c>
      <c r="O30" s="28">
        <v>117</v>
      </c>
      <c r="P30" s="31">
        <v>0.44606000000000001</v>
      </c>
      <c r="Q30" s="32">
        <v>121</v>
      </c>
      <c r="S30" s="16"/>
    </row>
    <row r="31" spans="1:19" x14ac:dyDescent="0.3">
      <c r="B31" s="9"/>
      <c r="C31" s="1"/>
      <c r="K31" s="18">
        <v>25</v>
      </c>
      <c r="L31" s="23">
        <v>0.54979999999999996</v>
      </c>
      <c r="M31" s="24">
        <v>107</v>
      </c>
      <c r="N31" s="27">
        <v>0.13900999999999999</v>
      </c>
      <c r="O31" s="28">
        <v>100</v>
      </c>
      <c r="P31" s="31">
        <v>0.54979999999999996</v>
      </c>
      <c r="Q31" s="32">
        <v>107</v>
      </c>
      <c r="S31" s="16"/>
    </row>
    <row r="32" spans="1:19" x14ac:dyDescent="0.3">
      <c r="B32" s="9"/>
      <c r="C32" s="1"/>
      <c r="K32" s="18">
        <v>26</v>
      </c>
      <c r="L32" s="23">
        <v>1.5848</v>
      </c>
      <c r="M32" s="24">
        <v>333</v>
      </c>
      <c r="N32" s="27">
        <v>1.3210999999999999</v>
      </c>
      <c r="O32" s="28">
        <v>295</v>
      </c>
      <c r="P32" s="31">
        <v>1.5848</v>
      </c>
      <c r="Q32" s="32">
        <v>333</v>
      </c>
      <c r="S32" s="16"/>
    </row>
    <row r="33" spans="2:19" x14ac:dyDescent="0.3">
      <c r="B33" s="9"/>
      <c r="C33" s="1"/>
      <c r="K33" s="18">
        <v>27</v>
      </c>
      <c r="L33" s="23">
        <v>0.58448</v>
      </c>
      <c r="M33" s="24">
        <v>93</v>
      </c>
      <c r="N33" s="27">
        <v>0.41105999999999998</v>
      </c>
      <c r="O33" s="28">
        <v>88</v>
      </c>
      <c r="P33" s="31">
        <v>0.58448</v>
      </c>
      <c r="Q33" s="32">
        <v>93</v>
      </c>
      <c r="S33" s="16"/>
    </row>
    <row r="34" spans="2:19" x14ac:dyDescent="0.3">
      <c r="B34" s="9"/>
      <c r="C34" s="1"/>
      <c r="G34" s="10"/>
      <c r="K34" s="18">
        <v>28</v>
      </c>
      <c r="L34" s="23">
        <v>0.31744</v>
      </c>
      <c r="M34" s="24">
        <v>65</v>
      </c>
      <c r="N34" s="27">
        <v>6.5619999999999998E-2</v>
      </c>
      <c r="O34" s="28">
        <v>72</v>
      </c>
      <c r="P34" s="31">
        <v>0.26019999999999999</v>
      </c>
      <c r="Q34" s="32">
        <v>68</v>
      </c>
      <c r="S34" s="16"/>
    </row>
    <row r="35" spans="2:19" x14ac:dyDescent="0.3">
      <c r="K35" s="18">
        <v>29</v>
      </c>
      <c r="L35" s="23">
        <v>0.29006999999999999</v>
      </c>
      <c r="M35" s="24">
        <v>78</v>
      </c>
      <c r="N35" s="27">
        <v>6.6339999999999996E-2</v>
      </c>
      <c r="O35" s="28">
        <v>90</v>
      </c>
      <c r="P35" s="31">
        <v>0.29006999999999999</v>
      </c>
      <c r="Q35" s="32">
        <v>78</v>
      </c>
      <c r="S35" s="16"/>
    </row>
    <row r="36" spans="2:19" x14ac:dyDescent="0.3">
      <c r="K36" s="18">
        <v>30</v>
      </c>
      <c r="L36" s="23">
        <v>1.0278</v>
      </c>
      <c r="M36" s="24">
        <v>131</v>
      </c>
      <c r="N36" s="27">
        <v>1.9626999999999999</v>
      </c>
      <c r="O36" s="28">
        <v>128</v>
      </c>
      <c r="P36" s="31">
        <v>1.0278</v>
      </c>
      <c r="Q36" s="32">
        <v>131</v>
      </c>
      <c r="S36" s="16"/>
    </row>
    <row r="37" spans="2:19" x14ac:dyDescent="0.3">
      <c r="K37" s="18">
        <v>31</v>
      </c>
      <c r="L37" s="23">
        <v>0.39268999999999998</v>
      </c>
      <c r="M37" s="24">
        <v>103</v>
      </c>
      <c r="N37" s="27">
        <v>0.24062</v>
      </c>
      <c r="O37" s="28">
        <v>108</v>
      </c>
      <c r="P37" s="31">
        <v>0.39268999999999998</v>
      </c>
      <c r="Q37" s="32">
        <v>103</v>
      </c>
      <c r="S37" s="16"/>
    </row>
    <row r="38" spans="2:19" x14ac:dyDescent="0.3">
      <c r="K38" s="18">
        <v>32</v>
      </c>
      <c r="L38" s="23">
        <v>1.1153</v>
      </c>
      <c r="M38" s="24">
        <v>142</v>
      </c>
      <c r="N38" s="27">
        <v>0.94618000000000002</v>
      </c>
      <c r="O38" s="28">
        <v>125</v>
      </c>
      <c r="P38" s="31">
        <v>1.1153</v>
      </c>
      <c r="Q38" s="32">
        <v>142</v>
      </c>
      <c r="S38" s="16"/>
    </row>
    <row r="39" spans="2:19" x14ac:dyDescent="0.3">
      <c r="K39" s="18">
        <v>33</v>
      </c>
      <c r="L39" s="23">
        <v>0.63839000000000001</v>
      </c>
      <c r="M39" s="24">
        <v>87</v>
      </c>
      <c r="N39" s="27">
        <v>0.13539999999999999</v>
      </c>
      <c r="O39" s="28">
        <v>90</v>
      </c>
      <c r="P39" s="31">
        <v>0.63839000000000001</v>
      </c>
      <c r="Q39" s="32">
        <v>87</v>
      </c>
      <c r="S39" s="16"/>
    </row>
    <row r="40" spans="2:19" x14ac:dyDescent="0.3">
      <c r="K40" s="18">
        <v>34</v>
      </c>
      <c r="L40" s="23">
        <v>0.22294</v>
      </c>
      <c r="M40" s="24">
        <v>36</v>
      </c>
      <c r="N40" s="27">
        <v>1.1339999999999999E-2</v>
      </c>
      <c r="O40" s="28">
        <v>39</v>
      </c>
      <c r="P40" s="31">
        <v>0.22294</v>
      </c>
      <c r="Q40" s="32">
        <v>36</v>
      </c>
      <c r="S40" s="16"/>
    </row>
    <row r="41" spans="2:19" x14ac:dyDescent="0.3">
      <c r="K41" s="18">
        <v>35</v>
      </c>
      <c r="L41" s="23">
        <v>0.43006</v>
      </c>
      <c r="M41" s="24">
        <v>62</v>
      </c>
      <c r="N41" s="27">
        <v>0.47005000000000002</v>
      </c>
      <c r="O41" s="28">
        <v>59</v>
      </c>
      <c r="P41" s="31">
        <v>0.43006</v>
      </c>
      <c r="Q41" s="32">
        <v>62</v>
      </c>
      <c r="S41" s="16"/>
    </row>
    <row r="42" spans="2:19" x14ac:dyDescent="0.3">
      <c r="K42" s="18">
        <v>36</v>
      </c>
      <c r="L42" s="23">
        <v>0.55091000000000001</v>
      </c>
      <c r="M42" s="24">
        <v>63</v>
      </c>
      <c r="N42" s="27">
        <v>0.53242999999999996</v>
      </c>
      <c r="O42" s="28">
        <v>65</v>
      </c>
      <c r="P42" s="31">
        <v>0.55091000000000001</v>
      </c>
      <c r="Q42" s="32">
        <v>63</v>
      </c>
      <c r="S42" s="16"/>
    </row>
    <row r="43" spans="2:19" x14ac:dyDescent="0.3">
      <c r="K43" s="18">
        <v>37</v>
      </c>
      <c r="L43" s="23">
        <v>1.0548</v>
      </c>
      <c r="M43" s="24">
        <v>167</v>
      </c>
      <c r="N43" s="27">
        <v>0.80064999999999997</v>
      </c>
      <c r="O43" s="28">
        <v>149</v>
      </c>
      <c r="P43" s="31">
        <v>0.95408000000000004</v>
      </c>
      <c r="Q43" s="32">
        <v>171</v>
      </c>
      <c r="S43" s="16"/>
    </row>
    <row r="44" spans="2:19" x14ac:dyDescent="0.3">
      <c r="K44" s="18">
        <v>38</v>
      </c>
      <c r="L44" s="23">
        <v>0.76002999999999998</v>
      </c>
      <c r="M44" s="24">
        <v>123</v>
      </c>
      <c r="N44" s="27">
        <v>0.85575999999999997</v>
      </c>
      <c r="O44" s="28">
        <v>142</v>
      </c>
      <c r="P44" s="31">
        <v>0.74826999999999999</v>
      </c>
      <c r="Q44" s="32">
        <v>123</v>
      </c>
      <c r="S44" s="16"/>
    </row>
    <row r="45" spans="2:19" x14ac:dyDescent="0.3">
      <c r="K45" s="18">
        <v>39</v>
      </c>
      <c r="L45" s="23">
        <v>1.4046000000000001</v>
      </c>
      <c r="M45" s="24">
        <v>157</v>
      </c>
      <c r="N45" s="27">
        <v>1.0474000000000001</v>
      </c>
      <c r="O45" s="28">
        <v>175</v>
      </c>
      <c r="P45" s="31">
        <v>1.4046000000000001</v>
      </c>
      <c r="Q45" s="32">
        <v>157</v>
      </c>
      <c r="S45" s="16"/>
    </row>
    <row r="46" spans="2:19" x14ac:dyDescent="0.3">
      <c r="K46" s="18">
        <v>40</v>
      </c>
      <c r="L46" s="23">
        <v>0.64485999999999999</v>
      </c>
      <c r="M46" s="24">
        <v>148</v>
      </c>
      <c r="N46" s="27">
        <v>0.47585</v>
      </c>
      <c r="O46" s="28">
        <v>148</v>
      </c>
      <c r="P46" s="31">
        <v>0.64485999999999999</v>
      </c>
      <c r="Q46" s="32">
        <v>148</v>
      </c>
      <c r="S46" s="16"/>
    </row>
    <row r="47" spans="2:19" x14ac:dyDescent="0.3">
      <c r="K47" s="18">
        <v>41</v>
      </c>
      <c r="L47" s="23">
        <v>0.54268000000000005</v>
      </c>
      <c r="M47" s="24">
        <v>133</v>
      </c>
      <c r="N47" s="27">
        <v>0.31397000000000003</v>
      </c>
      <c r="O47" s="28">
        <v>136</v>
      </c>
      <c r="P47" s="31">
        <v>0.52354999999999996</v>
      </c>
      <c r="Q47" s="32">
        <v>133</v>
      </c>
      <c r="S47" s="16"/>
    </row>
    <row r="48" spans="2:19" x14ac:dyDescent="0.3">
      <c r="K48" s="18">
        <v>42</v>
      </c>
      <c r="L48" s="23">
        <v>0.61531999999999998</v>
      </c>
      <c r="M48" s="24">
        <v>112</v>
      </c>
      <c r="N48" s="27">
        <v>0.27439000000000002</v>
      </c>
      <c r="O48" s="28">
        <v>106</v>
      </c>
      <c r="P48" s="31">
        <v>0.61531999999999998</v>
      </c>
      <c r="Q48" s="32">
        <v>112</v>
      </c>
      <c r="S48" s="16"/>
    </row>
    <row r="49" spans="11:19" x14ac:dyDescent="0.3">
      <c r="K49" s="18">
        <v>43</v>
      </c>
      <c r="L49" s="23">
        <v>0.45016</v>
      </c>
      <c r="M49" s="24">
        <v>94</v>
      </c>
      <c r="N49" s="27">
        <v>0.28842000000000001</v>
      </c>
      <c r="O49" s="28">
        <v>93</v>
      </c>
      <c r="P49" s="31">
        <v>0.45016</v>
      </c>
      <c r="Q49" s="32">
        <v>94</v>
      </c>
      <c r="S49" s="16"/>
    </row>
    <row r="50" spans="11:19" x14ac:dyDescent="0.3">
      <c r="K50" s="18">
        <v>44</v>
      </c>
      <c r="L50" s="23">
        <v>0.41009000000000001</v>
      </c>
      <c r="M50" s="24">
        <v>94</v>
      </c>
      <c r="N50" s="27">
        <v>2.0670000000000001E-2</v>
      </c>
      <c r="O50" s="28">
        <v>74</v>
      </c>
      <c r="P50" s="31">
        <v>0.39126</v>
      </c>
      <c r="Q50" s="32">
        <v>94</v>
      </c>
      <c r="S50" s="16"/>
    </row>
    <row r="51" spans="11:19" x14ac:dyDescent="0.3">
      <c r="K51" s="18">
        <v>45</v>
      </c>
      <c r="L51" s="23">
        <v>0.31953999999999999</v>
      </c>
      <c r="M51" s="24">
        <v>48</v>
      </c>
      <c r="N51" s="27">
        <v>3.8269999999999998E-2</v>
      </c>
      <c r="O51" s="28">
        <v>44</v>
      </c>
      <c r="P51" s="31">
        <v>0.31953999999999999</v>
      </c>
      <c r="Q51" s="32">
        <v>48</v>
      </c>
      <c r="S51" s="16"/>
    </row>
    <row r="52" spans="11:19" x14ac:dyDescent="0.3">
      <c r="K52" s="18">
        <v>46</v>
      </c>
      <c r="L52" s="23">
        <v>0.84001999999999999</v>
      </c>
      <c r="M52" s="24">
        <v>192</v>
      </c>
      <c r="N52" s="27">
        <v>0.51707000000000003</v>
      </c>
      <c r="O52" s="28">
        <v>206</v>
      </c>
      <c r="P52" s="31">
        <v>0.84001999999999999</v>
      </c>
      <c r="Q52" s="32">
        <v>192</v>
      </c>
      <c r="S52" s="16"/>
    </row>
    <row r="53" spans="11:19" x14ac:dyDescent="0.3">
      <c r="K53" s="18">
        <v>47</v>
      </c>
      <c r="L53" s="23">
        <v>0.39055000000000001</v>
      </c>
      <c r="M53" s="24">
        <v>139</v>
      </c>
      <c r="N53" s="27">
        <v>0.30797000000000002</v>
      </c>
      <c r="O53" s="28">
        <v>140</v>
      </c>
      <c r="P53" s="31">
        <v>0.32386999999999999</v>
      </c>
      <c r="Q53" s="32">
        <v>139</v>
      </c>
      <c r="S53" s="16"/>
    </row>
    <row r="54" spans="11:19" x14ac:dyDescent="0.3">
      <c r="K54" s="18">
        <v>48</v>
      </c>
      <c r="L54" s="23">
        <v>1.4684999999999999</v>
      </c>
      <c r="M54" s="24">
        <v>275</v>
      </c>
      <c r="N54" s="27">
        <v>0.65466999999999997</v>
      </c>
      <c r="O54" s="28">
        <v>272</v>
      </c>
      <c r="P54" s="31">
        <v>1.4684999999999999</v>
      </c>
      <c r="Q54" s="32">
        <v>275</v>
      </c>
      <c r="S54" s="16"/>
    </row>
    <row r="55" spans="11:19" x14ac:dyDescent="0.3">
      <c r="K55" s="18">
        <v>49</v>
      </c>
      <c r="L55" s="23">
        <v>0.90639000000000003</v>
      </c>
      <c r="M55" s="24">
        <v>187</v>
      </c>
      <c r="N55" s="27">
        <v>0.42063</v>
      </c>
      <c r="O55" s="28">
        <v>171</v>
      </c>
      <c r="P55" s="31">
        <v>0.90639000000000003</v>
      </c>
      <c r="Q55" s="32">
        <v>187</v>
      </c>
      <c r="S55" s="16"/>
    </row>
    <row r="56" spans="11:19" x14ac:dyDescent="0.3">
      <c r="K56" s="18">
        <v>50</v>
      </c>
      <c r="L56" s="23">
        <v>1.1998</v>
      </c>
      <c r="M56" s="24">
        <v>77</v>
      </c>
      <c r="N56" s="27">
        <v>0.60740000000000005</v>
      </c>
      <c r="O56" s="28">
        <v>83</v>
      </c>
      <c r="P56" s="31">
        <v>1.1998</v>
      </c>
      <c r="Q56" s="32">
        <v>77</v>
      </c>
      <c r="S56" s="16"/>
    </row>
    <row r="57" spans="11:19" x14ac:dyDescent="0.3">
      <c r="K57" s="18">
        <v>51</v>
      </c>
      <c r="L57" s="23">
        <v>0.92610999999999999</v>
      </c>
      <c r="M57" s="24">
        <v>209</v>
      </c>
      <c r="N57" s="27">
        <v>1.0639000000000001</v>
      </c>
      <c r="O57" s="28">
        <v>250</v>
      </c>
      <c r="P57" s="31">
        <v>0.92610999999999999</v>
      </c>
      <c r="Q57" s="32">
        <v>209</v>
      </c>
      <c r="S57" s="16"/>
    </row>
    <row r="58" spans="11:19" x14ac:dyDescent="0.3">
      <c r="K58" s="18">
        <v>52</v>
      </c>
      <c r="L58" s="23">
        <v>1.0085</v>
      </c>
      <c r="M58" s="24">
        <v>50</v>
      </c>
      <c r="N58" s="27">
        <v>0.30598999999999998</v>
      </c>
      <c r="O58" s="28">
        <v>56</v>
      </c>
      <c r="P58" s="31">
        <v>1.0085</v>
      </c>
      <c r="Q58" s="32">
        <v>50</v>
      </c>
      <c r="S58" s="16"/>
    </row>
    <row r="59" spans="11:19" x14ac:dyDescent="0.3">
      <c r="K59" s="18">
        <v>53</v>
      </c>
      <c r="L59" s="23">
        <v>2.7328000000000001</v>
      </c>
      <c r="M59" s="24">
        <v>224</v>
      </c>
      <c r="N59" s="27">
        <v>2.419</v>
      </c>
      <c r="O59" s="28">
        <v>238</v>
      </c>
      <c r="P59" s="31">
        <v>2.7328000000000001</v>
      </c>
      <c r="Q59" s="32">
        <v>224</v>
      </c>
      <c r="S59" s="16"/>
    </row>
    <row r="60" spans="11:19" x14ac:dyDescent="0.3">
      <c r="K60" s="18">
        <v>54</v>
      </c>
      <c r="L60" s="23">
        <v>1.6629</v>
      </c>
      <c r="M60" s="24">
        <v>241</v>
      </c>
      <c r="N60" s="27">
        <v>0.98787000000000003</v>
      </c>
      <c r="O60" s="28">
        <v>228</v>
      </c>
      <c r="P60" s="31">
        <v>1.6629</v>
      </c>
      <c r="Q60" s="32">
        <v>241</v>
      </c>
      <c r="S60" s="16"/>
    </row>
    <row r="61" spans="11:19" x14ac:dyDescent="0.3">
      <c r="K61" s="18">
        <v>55</v>
      </c>
      <c r="L61" s="23">
        <v>1.1963999999999999</v>
      </c>
      <c r="M61" s="24">
        <v>254</v>
      </c>
      <c r="N61" s="27">
        <v>0.52854000000000001</v>
      </c>
      <c r="O61" s="28">
        <v>238</v>
      </c>
      <c r="P61" s="31">
        <v>1.1963999999999999</v>
      </c>
      <c r="Q61" s="32">
        <v>254</v>
      </c>
      <c r="S61" s="16"/>
    </row>
    <row r="62" spans="11:19" x14ac:dyDescent="0.3">
      <c r="K62" s="18">
        <v>56</v>
      </c>
      <c r="L62" s="23">
        <v>1.2370000000000001</v>
      </c>
      <c r="M62" s="24">
        <v>90</v>
      </c>
      <c r="N62" s="27">
        <v>6.4960000000000004E-2</v>
      </c>
      <c r="O62" s="28">
        <v>101</v>
      </c>
      <c r="P62" s="31">
        <v>1.2370000000000001</v>
      </c>
      <c r="Q62" s="32">
        <v>90</v>
      </c>
      <c r="S62" s="16"/>
    </row>
    <row r="63" spans="11:19" x14ac:dyDescent="0.3">
      <c r="K63" s="18">
        <v>57</v>
      </c>
      <c r="L63" s="23">
        <v>0.27844000000000002</v>
      </c>
      <c r="M63" s="24">
        <v>25</v>
      </c>
      <c r="N63" s="27">
        <v>1.9820000000000001E-2</v>
      </c>
      <c r="O63" s="28">
        <v>26</v>
      </c>
      <c r="P63" s="31">
        <v>0.27844000000000002</v>
      </c>
      <c r="Q63" s="32">
        <v>25</v>
      </c>
      <c r="S63" s="16"/>
    </row>
    <row r="64" spans="11:19" x14ac:dyDescent="0.3">
      <c r="K64" s="18">
        <v>58</v>
      </c>
      <c r="L64" s="23">
        <v>0.43803999999999998</v>
      </c>
      <c r="M64" s="24">
        <v>129</v>
      </c>
      <c r="N64" s="27">
        <v>1.2862</v>
      </c>
      <c r="O64" s="28">
        <v>165</v>
      </c>
      <c r="P64" s="31">
        <v>0.43803999999999998</v>
      </c>
      <c r="Q64" s="32">
        <v>129</v>
      </c>
      <c r="S64" s="16"/>
    </row>
    <row r="65" spans="11:19" x14ac:dyDescent="0.3">
      <c r="K65" s="18">
        <v>59</v>
      </c>
      <c r="L65" s="23">
        <v>0.69850000000000001</v>
      </c>
      <c r="M65" s="24">
        <v>143</v>
      </c>
      <c r="N65" s="27">
        <v>0.29447000000000001</v>
      </c>
      <c r="O65" s="28">
        <v>133</v>
      </c>
      <c r="P65" s="31">
        <v>0.92344000000000004</v>
      </c>
      <c r="Q65" s="32">
        <v>143</v>
      </c>
      <c r="S65" s="16"/>
    </row>
    <row r="66" spans="11:19" x14ac:dyDescent="0.3">
      <c r="K66" s="18">
        <v>60</v>
      </c>
      <c r="L66" s="23">
        <v>0.77659999999999996</v>
      </c>
      <c r="M66" s="24">
        <v>126</v>
      </c>
      <c r="N66" s="27">
        <v>4.2369999999999998E-2</v>
      </c>
      <c r="O66" s="28">
        <v>116</v>
      </c>
      <c r="P66" s="31">
        <v>0.80362</v>
      </c>
      <c r="Q66" s="32">
        <v>130</v>
      </c>
      <c r="S66" s="16"/>
    </row>
    <row r="67" spans="11:19" x14ac:dyDescent="0.3">
      <c r="K67" s="18">
        <v>61</v>
      </c>
      <c r="L67" s="23">
        <v>0.94633999999999996</v>
      </c>
      <c r="M67" s="24">
        <v>151</v>
      </c>
      <c r="N67" s="27">
        <v>0.18731</v>
      </c>
      <c r="O67" s="28">
        <v>158</v>
      </c>
      <c r="P67" s="31">
        <v>0.94633999999999996</v>
      </c>
      <c r="Q67" s="32">
        <v>151</v>
      </c>
      <c r="S67" s="16"/>
    </row>
    <row r="68" spans="11:19" x14ac:dyDescent="0.3">
      <c r="K68" s="18">
        <v>62</v>
      </c>
      <c r="L68" s="23">
        <v>5.2412999999999998</v>
      </c>
      <c r="M68" s="24">
        <v>352</v>
      </c>
      <c r="N68" s="27">
        <v>7.9977999999999998</v>
      </c>
      <c r="O68" s="28">
        <v>317</v>
      </c>
      <c r="P68" s="31">
        <v>5.2396000000000003</v>
      </c>
      <c r="Q68" s="32">
        <v>349</v>
      </c>
      <c r="S68" s="16"/>
    </row>
    <row r="69" spans="11:19" x14ac:dyDescent="0.3">
      <c r="K69" s="18">
        <v>63</v>
      </c>
      <c r="L69" s="23">
        <v>0.49023</v>
      </c>
      <c r="M69" s="24">
        <v>68</v>
      </c>
      <c r="N69" s="27">
        <v>0.19345000000000001</v>
      </c>
      <c r="O69" s="28">
        <v>73</v>
      </c>
      <c r="P69" s="31">
        <v>0.49023</v>
      </c>
      <c r="Q69" s="32">
        <v>68</v>
      </c>
      <c r="S69" s="16"/>
    </row>
    <row r="70" spans="11:19" x14ac:dyDescent="0.3">
      <c r="K70" s="18">
        <v>64</v>
      </c>
      <c r="L70" s="23">
        <v>0.60465000000000002</v>
      </c>
      <c r="M70" s="24">
        <v>193</v>
      </c>
      <c r="N70" s="27">
        <v>0.36670999999999998</v>
      </c>
      <c r="O70" s="28">
        <v>187</v>
      </c>
      <c r="P70" s="31">
        <v>0.60465000000000002</v>
      </c>
      <c r="Q70" s="32">
        <v>193</v>
      </c>
      <c r="S70" s="16"/>
    </row>
    <row r="71" spans="11:19" x14ac:dyDescent="0.3">
      <c r="K71" s="18">
        <v>65</v>
      </c>
      <c r="L71" s="23">
        <v>1.0371999999999999</v>
      </c>
      <c r="M71" s="24">
        <v>297</v>
      </c>
      <c r="N71" s="27">
        <v>1.008</v>
      </c>
      <c r="O71" s="28">
        <v>265</v>
      </c>
      <c r="P71" s="31">
        <v>1.0371999999999999</v>
      </c>
      <c r="Q71" s="32">
        <v>297</v>
      </c>
      <c r="S71" s="16"/>
    </row>
    <row r="72" spans="11:19" x14ac:dyDescent="0.3">
      <c r="K72" s="18">
        <v>66</v>
      </c>
      <c r="L72" s="23">
        <v>3.4649000000000001</v>
      </c>
      <c r="M72" s="24">
        <v>338</v>
      </c>
      <c r="N72" s="27">
        <v>1.0912999999999999</v>
      </c>
      <c r="O72" s="28">
        <v>284</v>
      </c>
      <c r="P72" s="31">
        <v>3.4609999999999999</v>
      </c>
      <c r="Q72" s="32">
        <v>338</v>
      </c>
      <c r="S72" s="16"/>
    </row>
    <row r="73" spans="11:19" x14ac:dyDescent="0.3">
      <c r="K73" s="18">
        <v>67</v>
      </c>
      <c r="L73" s="23">
        <v>0.64607000000000003</v>
      </c>
      <c r="M73" s="24">
        <v>101</v>
      </c>
      <c r="N73" s="27">
        <v>8.8580000000000006E-2</v>
      </c>
      <c r="O73" s="28">
        <v>96</v>
      </c>
      <c r="P73" s="31">
        <v>0.64607000000000003</v>
      </c>
      <c r="Q73" s="32">
        <v>101</v>
      </c>
      <c r="S73" s="16"/>
    </row>
    <row r="74" spans="11:19" x14ac:dyDescent="0.3">
      <c r="K74" s="18">
        <v>68</v>
      </c>
      <c r="L74" s="23">
        <v>0.40293000000000001</v>
      </c>
      <c r="M74" s="24">
        <v>57</v>
      </c>
      <c r="N74" s="27">
        <v>0.15151000000000001</v>
      </c>
      <c r="O74" s="28">
        <v>57</v>
      </c>
      <c r="P74" s="31">
        <v>0.40293000000000001</v>
      </c>
      <c r="Q74" s="32">
        <v>57</v>
      </c>
      <c r="S74" s="16"/>
    </row>
    <row r="75" spans="11:19" x14ac:dyDescent="0.3">
      <c r="K75" s="18">
        <v>69</v>
      </c>
      <c r="L75" s="23">
        <v>0.72692000000000001</v>
      </c>
      <c r="M75" s="24">
        <v>162</v>
      </c>
      <c r="N75" s="27">
        <v>0.56655</v>
      </c>
      <c r="O75" s="28">
        <v>155</v>
      </c>
      <c r="P75" s="31">
        <v>0.72692000000000001</v>
      </c>
      <c r="Q75" s="32">
        <v>162</v>
      </c>
      <c r="S75" s="16"/>
    </row>
    <row r="76" spans="11:19" x14ac:dyDescent="0.3">
      <c r="K76" s="18">
        <v>70</v>
      </c>
      <c r="L76" s="23">
        <v>0.27616000000000002</v>
      </c>
      <c r="M76" s="24">
        <v>62</v>
      </c>
      <c r="N76" s="27">
        <v>0.38444</v>
      </c>
      <c r="O76" s="28">
        <v>62</v>
      </c>
      <c r="P76" s="31">
        <v>0.21177000000000001</v>
      </c>
      <c r="Q76" s="32">
        <v>62</v>
      </c>
      <c r="S76" s="16"/>
    </row>
    <row r="77" spans="11:19" x14ac:dyDescent="0.3">
      <c r="K77" s="18">
        <v>71</v>
      </c>
      <c r="L77" s="23">
        <v>0.55654999999999999</v>
      </c>
      <c r="M77" s="24">
        <v>139</v>
      </c>
      <c r="N77" s="27">
        <v>0.28532999999999997</v>
      </c>
      <c r="O77" s="28">
        <v>146</v>
      </c>
      <c r="P77" s="31">
        <v>0.55654999999999999</v>
      </c>
      <c r="Q77" s="32">
        <v>139</v>
      </c>
      <c r="S77" s="16"/>
    </row>
    <row r="78" spans="11:19" x14ac:dyDescent="0.3">
      <c r="K78" s="18">
        <v>72</v>
      </c>
      <c r="L78" s="23">
        <v>0.31319999999999998</v>
      </c>
      <c r="M78" s="24">
        <v>149</v>
      </c>
      <c r="N78" s="27">
        <v>0.39047999999999999</v>
      </c>
      <c r="O78" s="28">
        <v>168</v>
      </c>
      <c r="P78" s="31">
        <v>0.30641000000000002</v>
      </c>
      <c r="Q78" s="32">
        <v>149</v>
      </c>
      <c r="S78" s="16"/>
    </row>
    <row r="79" spans="11:19" x14ac:dyDescent="0.3">
      <c r="K79" s="18">
        <v>73</v>
      </c>
      <c r="L79" s="23">
        <v>0.33405000000000001</v>
      </c>
      <c r="M79" s="24">
        <v>80</v>
      </c>
      <c r="N79" s="27">
        <v>0.15545999999999999</v>
      </c>
      <c r="O79" s="28">
        <v>84</v>
      </c>
      <c r="P79" s="31">
        <v>0.33405000000000001</v>
      </c>
      <c r="Q79" s="32">
        <v>80</v>
      </c>
      <c r="S79" s="16"/>
    </row>
    <row r="80" spans="11:19" x14ac:dyDescent="0.3">
      <c r="K80" s="18">
        <v>74</v>
      </c>
      <c r="L80" s="23">
        <v>0.61141999999999996</v>
      </c>
      <c r="M80" s="24">
        <v>155</v>
      </c>
      <c r="N80" s="27">
        <v>0.23291000000000001</v>
      </c>
      <c r="O80" s="28">
        <v>166</v>
      </c>
      <c r="P80" s="31">
        <v>0.52793999999999996</v>
      </c>
      <c r="Q80" s="32">
        <v>168</v>
      </c>
      <c r="S80" s="16"/>
    </row>
    <row r="81" spans="11:19" x14ac:dyDescent="0.3">
      <c r="K81" s="18">
        <v>75</v>
      </c>
      <c r="L81" s="23">
        <v>0.40971999999999997</v>
      </c>
      <c r="M81" s="24">
        <v>140</v>
      </c>
      <c r="N81" s="27">
        <v>0.20211999999999999</v>
      </c>
      <c r="O81" s="28">
        <v>146</v>
      </c>
      <c r="P81" s="31">
        <v>0.40971999999999997</v>
      </c>
      <c r="Q81" s="32">
        <v>140</v>
      </c>
      <c r="S81" s="16"/>
    </row>
    <row r="82" spans="11:19" x14ac:dyDescent="0.3">
      <c r="K82" s="18">
        <v>76</v>
      </c>
      <c r="L82" s="23">
        <v>1.1675</v>
      </c>
      <c r="M82" s="24">
        <v>202</v>
      </c>
      <c r="N82" s="27">
        <v>0.41816999999999999</v>
      </c>
      <c r="O82" s="28">
        <v>196</v>
      </c>
      <c r="P82" s="31">
        <v>1.1675</v>
      </c>
      <c r="Q82" s="32">
        <v>202</v>
      </c>
      <c r="S82" s="16"/>
    </row>
    <row r="83" spans="11:19" x14ac:dyDescent="0.3">
      <c r="K83" s="18">
        <v>77</v>
      </c>
      <c r="L83" s="23">
        <v>0.30764999999999998</v>
      </c>
      <c r="M83" s="24">
        <v>52</v>
      </c>
      <c r="N83" s="27">
        <v>9.5589999999999994E-2</v>
      </c>
      <c r="O83" s="28">
        <v>51</v>
      </c>
      <c r="P83" s="31">
        <v>0.30764999999999998</v>
      </c>
      <c r="Q83" s="32">
        <v>52</v>
      </c>
      <c r="S83" s="16"/>
    </row>
    <row r="84" spans="11:19" x14ac:dyDescent="0.3">
      <c r="K84" s="18">
        <v>78</v>
      </c>
      <c r="L84" s="23">
        <v>1.0134000000000001</v>
      </c>
      <c r="M84" s="24">
        <v>232</v>
      </c>
      <c r="N84" s="27">
        <v>0.59265999999999996</v>
      </c>
      <c r="O84" s="28">
        <v>235</v>
      </c>
      <c r="P84" s="31">
        <v>1.0074000000000001</v>
      </c>
      <c r="Q84" s="32">
        <v>232</v>
      </c>
      <c r="S84" s="16"/>
    </row>
    <row r="85" spans="11:19" x14ac:dyDescent="0.3">
      <c r="K85" s="18">
        <v>79</v>
      </c>
      <c r="L85" s="23">
        <v>0.92344000000000004</v>
      </c>
      <c r="M85" s="24">
        <v>106</v>
      </c>
      <c r="N85" s="27">
        <v>0.76527999999999996</v>
      </c>
      <c r="O85" s="28">
        <v>118</v>
      </c>
      <c r="P85" s="31">
        <v>0.92344000000000004</v>
      </c>
      <c r="Q85" s="32">
        <v>106</v>
      </c>
      <c r="S85" s="16"/>
    </row>
    <row r="86" spans="11:19" x14ac:dyDescent="0.3">
      <c r="K86" s="18">
        <v>80</v>
      </c>
      <c r="L86" s="23">
        <v>0.85241999999999996</v>
      </c>
      <c r="M86" s="24">
        <v>106</v>
      </c>
      <c r="N86" s="27">
        <v>0.17713999999999999</v>
      </c>
      <c r="O86" s="28">
        <v>108</v>
      </c>
      <c r="P86" s="31">
        <v>0.54527999999999999</v>
      </c>
      <c r="Q86" s="32">
        <v>107</v>
      </c>
      <c r="S86" s="16"/>
    </row>
    <row r="87" spans="11:19" x14ac:dyDescent="0.3">
      <c r="K87" s="18">
        <v>81</v>
      </c>
      <c r="L87" s="23">
        <v>2.3746</v>
      </c>
      <c r="M87" s="24">
        <v>241</v>
      </c>
      <c r="N87" s="27">
        <v>2.1846000000000001</v>
      </c>
      <c r="O87" s="28">
        <v>214</v>
      </c>
      <c r="P87" s="31">
        <v>2.3746</v>
      </c>
      <c r="Q87" s="32">
        <v>241</v>
      </c>
      <c r="S87" s="16"/>
    </row>
    <row r="88" spans="11:19" x14ac:dyDescent="0.3">
      <c r="K88" s="18">
        <v>82</v>
      </c>
      <c r="L88" s="23">
        <v>0.69962999999999997</v>
      </c>
      <c r="M88" s="24">
        <v>100</v>
      </c>
      <c r="N88" s="27">
        <v>0.31974999999999998</v>
      </c>
      <c r="O88" s="28">
        <v>102</v>
      </c>
      <c r="P88" s="31">
        <v>0.69962999999999997</v>
      </c>
      <c r="Q88" s="32">
        <v>100</v>
      </c>
      <c r="S88" s="16"/>
    </row>
    <row r="89" spans="11:19" x14ac:dyDescent="0.3">
      <c r="K89" s="18">
        <v>83</v>
      </c>
      <c r="L89" s="23">
        <v>0.55274999999999996</v>
      </c>
      <c r="M89" s="24">
        <v>160</v>
      </c>
      <c r="N89" s="27">
        <v>0.44401000000000002</v>
      </c>
      <c r="O89" s="28">
        <v>157</v>
      </c>
      <c r="P89" s="31">
        <v>0.55274999999999996</v>
      </c>
      <c r="Q89" s="32">
        <v>160</v>
      </c>
      <c r="S89" s="16"/>
    </row>
    <row r="90" spans="11:19" x14ac:dyDescent="0.3">
      <c r="K90" s="18">
        <v>84</v>
      </c>
      <c r="L90" s="23">
        <v>1.6846000000000001</v>
      </c>
      <c r="M90" s="24">
        <v>210</v>
      </c>
      <c r="N90" s="27">
        <v>0.80208000000000002</v>
      </c>
      <c r="O90" s="28">
        <v>193</v>
      </c>
      <c r="P90" s="31">
        <v>1.6846000000000001</v>
      </c>
      <c r="Q90" s="32">
        <v>210</v>
      </c>
      <c r="S90" s="16"/>
    </row>
    <row r="91" spans="11:19" x14ac:dyDescent="0.3">
      <c r="K91" s="18">
        <v>85</v>
      </c>
      <c r="L91" s="23">
        <v>0.43694</v>
      </c>
      <c r="M91" s="24">
        <v>98</v>
      </c>
      <c r="N91" s="27">
        <v>0.18279000000000001</v>
      </c>
      <c r="O91" s="28">
        <v>102</v>
      </c>
      <c r="P91" s="31">
        <v>0.37374000000000002</v>
      </c>
      <c r="Q91" s="32">
        <v>99</v>
      </c>
      <c r="S91" s="16"/>
    </row>
    <row r="92" spans="11:19" x14ac:dyDescent="0.3">
      <c r="K92" s="18">
        <v>86</v>
      </c>
      <c r="L92" s="23">
        <v>2.2021999999999999</v>
      </c>
      <c r="M92" s="24">
        <v>302</v>
      </c>
      <c r="N92" s="27">
        <v>0.73441999999999996</v>
      </c>
      <c r="O92" s="28">
        <v>281</v>
      </c>
      <c r="P92" s="31">
        <v>2.2021999999999999</v>
      </c>
      <c r="Q92" s="32">
        <v>302</v>
      </c>
      <c r="S92" s="16"/>
    </row>
    <row r="93" spans="11:19" x14ac:dyDescent="0.3">
      <c r="K93" s="18">
        <v>87</v>
      </c>
      <c r="L93" s="23">
        <v>0.31945000000000001</v>
      </c>
      <c r="M93" s="24">
        <v>69</v>
      </c>
      <c r="N93" s="27">
        <v>0.25713000000000003</v>
      </c>
      <c r="O93" s="28">
        <v>95</v>
      </c>
      <c r="P93" s="31">
        <v>0.31945000000000001</v>
      </c>
      <c r="Q93" s="32">
        <v>69</v>
      </c>
      <c r="S93" s="16"/>
    </row>
    <row r="94" spans="11:19" x14ac:dyDescent="0.3">
      <c r="K94" s="18">
        <v>88</v>
      </c>
      <c r="L94" s="23">
        <v>1.9490000000000001</v>
      </c>
      <c r="M94" s="24">
        <v>468</v>
      </c>
      <c r="N94" s="27">
        <v>5.7805999999999997</v>
      </c>
      <c r="O94" s="28">
        <v>422</v>
      </c>
      <c r="P94" s="31">
        <v>21.936</v>
      </c>
      <c r="Q94" s="32">
        <v>478</v>
      </c>
      <c r="S94" s="16"/>
    </row>
    <row r="95" spans="11:19" x14ac:dyDescent="0.3">
      <c r="K95" s="18">
        <v>89</v>
      </c>
      <c r="L95" s="23">
        <v>4.3872999999999998</v>
      </c>
      <c r="M95" s="24">
        <v>300</v>
      </c>
      <c r="N95" s="27">
        <v>3.7814000000000001</v>
      </c>
      <c r="O95" s="28">
        <v>304</v>
      </c>
      <c r="P95" s="31">
        <v>4.3840000000000003</v>
      </c>
      <c r="Q95" s="32">
        <v>300</v>
      </c>
      <c r="S95" s="16"/>
    </row>
    <row r="96" spans="11:19" x14ac:dyDescent="0.3">
      <c r="K96" s="18">
        <v>90</v>
      </c>
      <c r="L96" s="23">
        <v>1.1116999999999999</v>
      </c>
      <c r="M96" s="24">
        <v>133</v>
      </c>
      <c r="N96" s="27">
        <v>0.33887</v>
      </c>
      <c r="O96" s="28">
        <v>121</v>
      </c>
      <c r="P96" s="31">
        <v>1.1116999999999999</v>
      </c>
      <c r="Q96" s="32">
        <v>133</v>
      </c>
      <c r="S96" s="16"/>
    </row>
    <row r="97" spans="11:19" x14ac:dyDescent="0.3">
      <c r="K97" s="18">
        <v>91</v>
      </c>
      <c r="L97" s="23">
        <v>0.46092</v>
      </c>
      <c r="M97" s="24">
        <v>17</v>
      </c>
      <c r="N97" s="27">
        <v>8.4169999999999995E-2</v>
      </c>
      <c r="O97" s="28">
        <v>13</v>
      </c>
      <c r="P97" s="31">
        <v>0.46092</v>
      </c>
      <c r="Q97" s="32">
        <v>17</v>
      </c>
      <c r="S97" s="16"/>
    </row>
    <row r="98" spans="11:19" x14ac:dyDescent="0.3">
      <c r="K98" s="18">
        <v>92</v>
      </c>
      <c r="L98" s="23">
        <v>2.6137999999999999</v>
      </c>
      <c r="M98" s="24">
        <v>425</v>
      </c>
      <c r="N98" s="27">
        <v>11.654</v>
      </c>
      <c r="O98" s="28">
        <v>385</v>
      </c>
      <c r="P98" s="31">
        <v>24.376999999999999</v>
      </c>
      <c r="Q98" s="32">
        <v>425</v>
      </c>
      <c r="S98" s="16"/>
    </row>
    <row r="99" spans="11:19" x14ac:dyDescent="0.3">
      <c r="K99" s="18">
        <v>93</v>
      </c>
      <c r="L99" s="23">
        <v>1.071</v>
      </c>
      <c r="M99" s="24">
        <v>160</v>
      </c>
      <c r="N99" s="27">
        <v>0.60812999999999995</v>
      </c>
      <c r="O99" s="28">
        <v>170</v>
      </c>
      <c r="P99" s="31">
        <v>1.071</v>
      </c>
      <c r="Q99" s="32">
        <v>160</v>
      </c>
      <c r="S99" s="16"/>
    </row>
    <row r="100" spans="11:19" x14ac:dyDescent="0.3">
      <c r="K100" s="18">
        <v>94</v>
      </c>
      <c r="L100" s="23">
        <v>5.1589999999999998</v>
      </c>
      <c r="M100" s="24">
        <v>414</v>
      </c>
      <c r="N100" s="27">
        <v>4.7765000000000004</v>
      </c>
      <c r="O100" s="28">
        <v>366</v>
      </c>
      <c r="P100" s="31">
        <v>5.1539999999999999</v>
      </c>
      <c r="Q100" s="32">
        <v>414</v>
      </c>
      <c r="S100" s="16"/>
    </row>
    <row r="101" spans="11:19" x14ac:dyDescent="0.3">
      <c r="K101" s="18">
        <v>95</v>
      </c>
      <c r="L101" s="23">
        <v>0.87817000000000001</v>
      </c>
      <c r="M101" s="24">
        <v>100</v>
      </c>
      <c r="N101" s="27">
        <v>0.68911</v>
      </c>
      <c r="O101" s="28">
        <v>89</v>
      </c>
      <c r="P101" s="31">
        <v>0.87817000000000001</v>
      </c>
      <c r="Q101" s="32">
        <v>100</v>
      </c>
      <c r="S101" s="16"/>
    </row>
    <row r="102" spans="11:19" x14ac:dyDescent="0.3">
      <c r="K102" s="18">
        <v>96</v>
      </c>
      <c r="L102" s="23">
        <v>0.65354000000000001</v>
      </c>
      <c r="M102" s="24">
        <v>74</v>
      </c>
      <c r="N102" s="27">
        <v>0.15595000000000001</v>
      </c>
      <c r="O102" s="28">
        <v>69</v>
      </c>
      <c r="P102" s="31">
        <v>0.65354000000000001</v>
      </c>
      <c r="Q102" s="32">
        <v>74</v>
      </c>
      <c r="S102" s="16"/>
    </row>
    <row r="103" spans="11:19" x14ac:dyDescent="0.3">
      <c r="K103" s="18">
        <v>97</v>
      </c>
      <c r="L103" s="23">
        <v>0.45973999999999998</v>
      </c>
      <c r="M103" s="24">
        <v>63</v>
      </c>
      <c r="N103" s="27">
        <v>0.11045000000000001</v>
      </c>
      <c r="O103" s="28">
        <v>65</v>
      </c>
      <c r="P103" s="31">
        <v>0.45973999999999998</v>
      </c>
      <c r="Q103" s="32">
        <v>63</v>
      </c>
      <c r="S103" s="16"/>
    </row>
    <row r="104" spans="11:19" x14ac:dyDescent="0.3">
      <c r="K104" s="18">
        <v>98</v>
      </c>
      <c r="L104" s="23">
        <v>1.7905</v>
      </c>
      <c r="M104" s="24">
        <v>305</v>
      </c>
      <c r="N104" s="27">
        <v>1.9675</v>
      </c>
      <c r="O104" s="28">
        <v>299</v>
      </c>
      <c r="P104" s="31">
        <v>1.7878000000000001</v>
      </c>
      <c r="Q104" s="32">
        <v>305</v>
      </c>
      <c r="S104" s="16"/>
    </row>
    <row r="105" spans="11:19" x14ac:dyDescent="0.3">
      <c r="K105" s="18">
        <v>99</v>
      </c>
      <c r="L105" s="23">
        <v>2.524</v>
      </c>
      <c r="M105" s="24">
        <v>238</v>
      </c>
      <c r="N105" s="27">
        <v>0.37391000000000002</v>
      </c>
      <c r="O105" s="28">
        <v>266</v>
      </c>
      <c r="P105" s="31">
        <v>2.524</v>
      </c>
      <c r="Q105" s="32">
        <v>238</v>
      </c>
      <c r="S105" s="16"/>
    </row>
    <row r="106" spans="11:19" x14ac:dyDescent="0.3">
      <c r="K106" s="18">
        <v>100</v>
      </c>
      <c r="L106" s="23">
        <v>0.34726000000000001</v>
      </c>
      <c r="M106" s="24">
        <v>61</v>
      </c>
      <c r="N106" s="27">
        <v>3.1109999999999999E-2</v>
      </c>
      <c r="O106" s="28">
        <v>61</v>
      </c>
      <c r="P106" s="31">
        <v>0.34726000000000001</v>
      </c>
      <c r="Q106" s="32">
        <v>61</v>
      </c>
      <c r="S106" s="16"/>
    </row>
    <row r="107" spans="11:19" x14ac:dyDescent="0.3">
      <c r="K107" s="18">
        <v>101</v>
      </c>
      <c r="L107" s="23">
        <v>0.38773000000000002</v>
      </c>
      <c r="M107" s="24">
        <v>91</v>
      </c>
      <c r="N107" s="27">
        <v>9.307E-2</v>
      </c>
      <c r="O107" s="28">
        <v>81</v>
      </c>
      <c r="P107" s="31">
        <v>0.38773000000000002</v>
      </c>
      <c r="Q107" s="32">
        <v>91</v>
      </c>
      <c r="S107" s="16"/>
    </row>
    <row r="108" spans="11:19" x14ac:dyDescent="0.3">
      <c r="K108" s="18">
        <v>102</v>
      </c>
      <c r="L108" s="23">
        <v>0.50905</v>
      </c>
      <c r="M108" s="24">
        <v>63</v>
      </c>
      <c r="N108" s="27">
        <v>0.24675</v>
      </c>
      <c r="O108" s="28">
        <v>59</v>
      </c>
      <c r="P108" s="31">
        <v>0.49614999999999998</v>
      </c>
      <c r="Q108" s="32">
        <v>63</v>
      </c>
      <c r="S108" s="16"/>
    </row>
    <row r="109" spans="11:19" x14ac:dyDescent="0.3">
      <c r="K109" s="18">
        <v>103</v>
      </c>
      <c r="L109" s="23">
        <v>0.56974999999999998</v>
      </c>
      <c r="M109" s="24">
        <v>40</v>
      </c>
      <c r="N109" s="27">
        <v>0.31518000000000002</v>
      </c>
      <c r="O109" s="28">
        <v>53</v>
      </c>
      <c r="P109" s="31">
        <v>0.56974999999999998</v>
      </c>
      <c r="Q109" s="32">
        <v>40</v>
      </c>
      <c r="S109" s="16"/>
    </row>
    <row r="110" spans="11:19" x14ac:dyDescent="0.3">
      <c r="K110" s="18">
        <v>104</v>
      </c>
      <c r="L110" s="23">
        <v>2.3631000000000002</v>
      </c>
      <c r="M110" s="24">
        <v>148</v>
      </c>
      <c r="N110" s="27">
        <v>0.57859000000000005</v>
      </c>
      <c r="O110" s="28">
        <v>109</v>
      </c>
      <c r="P110" s="31">
        <v>2.3631000000000002</v>
      </c>
      <c r="Q110" s="32">
        <v>148</v>
      </c>
      <c r="S110" s="16"/>
    </row>
    <row r="111" spans="11:19" x14ac:dyDescent="0.3">
      <c r="K111" s="18">
        <v>105</v>
      </c>
      <c r="L111" s="23">
        <v>0.97589000000000004</v>
      </c>
      <c r="M111" s="24">
        <v>120</v>
      </c>
      <c r="N111" s="27">
        <v>0.35537000000000002</v>
      </c>
      <c r="O111" s="28">
        <v>130</v>
      </c>
      <c r="P111" s="31">
        <v>0.97589000000000004</v>
      </c>
      <c r="Q111" s="32">
        <v>120</v>
      </c>
      <c r="S111" s="16"/>
    </row>
    <row r="112" spans="11:19" x14ac:dyDescent="0.3">
      <c r="K112" s="18">
        <v>106</v>
      </c>
      <c r="L112" s="23">
        <v>0.34782000000000002</v>
      </c>
      <c r="M112" s="24">
        <v>37</v>
      </c>
      <c r="N112" s="27">
        <v>7.0139999999999994E-2</v>
      </c>
      <c r="O112" s="28">
        <v>41</v>
      </c>
      <c r="P112" s="31">
        <v>0.34782000000000002</v>
      </c>
      <c r="Q112" s="32">
        <v>37</v>
      </c>
      <c r="S112" s="16"/>
    </row>
    <row r="113" spans="11:19" x14ac:dyDescent="0.3">
      <c r="K113" s="18">
        <v>107</v>
      </c>
      <c r="L113" s="23">
        <v>0.66515999999999997</v>
      </c>
      <c r="M113" s="24">
        <v>159</v>
      </c>
      <c r="N113" s="27">
        <v>0.43226999999999999</v>
      </c>
      <c r="O113" s="28">
        <v>145</v>
      </c>
      <c r="P113" s="31">
        <v>0.65705999999999998</v>
      </c>
      <c r="Q113" s="32">
        <v>159</v>
      </c>
      <c r="S113" s="16"/>
    </row>
    <row r="114" spans="11:19" x14ac:dyDescent="0.3">
      <c r="K114" s="18">
        <v>108</v>
      </c>
      <c r="L114" s="23">
        <v>1.8782000000000001</v>
      </c>
      <c r="M114" s="24">
        <v>154</v>
      </c>
      <c r="N114" s="27">
        <v>0.11539000000000001</v>
      </c>
      <c r="O114" s="28">
        <v>124</v>
      </c>
      <c r="P114" s="31">
        <v>1.8537999999999999</v>
      </c>
      <c r="Q114" s="32">
        <v>154</v>
      </c>
      <c r="S114" s="16"/>
    </row>
    <row r="115" spans="11:19" x14ac:dyDescent="0.3">
      <c r="K115" s="18">
        <v>109</v>
      </c>
      <c r="L115" s="23">
        <v>0.17102999999999999</v>
      </c>
      <c r="M115" s="24">
        <v>64</v>
      </c>
      <c r="N115" s="27">
        <v>8.8289999999999993E-2</v>
      </c>
      <c r="O115" s="28">
        <v>63</v>
      </c>
      <c r="P115" s="31">
        <v>0.17102999999999999</v>
      </c>
      <c r="Q115" s="32">
        <v>64</v>
      </c>
      <c r="S115" s="16"/>
    </row>
    <row r="116" spans="11:19" x14ac:dyDescent="0.3">
      <c r="K116" s="18">
        <v>110</v>
      </c>
      <c r="L116" s="23">
        <v>1.5472999999999999</v>
      </c>
      <c r="M116" s="24">
        <v>277</v>
      </c>
      <c r="N116" s="27">
        <v>1.7403999999999999</v>
      </c>
      <c r="O116" s="28">
        <v>295</v>
      </c>
      <c r="P116" s="31">
        <v>1.5472999999999999</v>
      </c>
      <c r="Q116" s="32">
        <v>277</v>
      </c>
      <c r="S116" s="16"/>
    </row>
    <row r="117" spans="11:19" x14ac:dyDescent="0.3">
      <c r="K117" s="18">
        <v>111</v>
      </c>
      <c r="L117" s="23">
        <v>0.71799999999999997</v>
      </c>
      <c r="M117" s="24">
        <v>120</v>
      </c>
      <c r="N117" s="27">
        <v>0.55976999999999999</v>
      </c>
      <c r="O117" s="28">
        <v>147</v>
      </c>
      <c r="P117" s="31">
        <v>0.71799999999999997</v>
      </c>
      <c r="Q117" s="32">
        <v>120</v>
      </c>
      <c r="S117" s="16"/>
    </row>
    <row r="118" spans="11:19" x14ac:dyDescent="0.3">
      <c r="K118" s="18">
        <v>112</v>
      </c>
      <c r="L118" s="23">
        <v>0.58879000000000004</v>
      </c>
      <c r="M118" s="24">
        <v>171</v>
      </c>
      <c r="N118" s="27">
        <v>0.24482999999999999</v>
      </c>
      <c r="O118" s="28">
        <v>169</v>
      </c>
      <c r="P118" s="31">
        <v>0.58879000000000004</v>
      </c>
      <c r="Q118" s="32">
        <v>171</v>
      </c>
      <c r="S118" s="16"/>
    </row>
    <row r="119" spans="11:19" x14ac:dyDescent="0.3">
      <c r="K119" s="18">
        <v>113</v>
      </c>
      <c r="L119" s="23">
        <v>0.33004</v>
      </c>
      <c r="M119" s="24">
        <v>126</v>
      </c>
      <c r="N119" s="27">
        <v>0.5373</v>
      </c>
      <c r="O119" s="28">
        <v>132</v>
      </c>
      <c r="P119" s="31">
        <v>0.33004</v>
      </c>
      <c r="Q119" s="32">
        <v>126</v>
      </c>
      <c r="S119" s="16"/>
    </row>
    <row r="120" spans="11:19" x14ac:dyDescent="0.3">
      <c r="K120" s="18">
        <v>114</v>
      </c>
      <c r="L120" s="23">
        <v>0.42219000000000001</v>
      </c>
      <c r="M120" s="24">
        <v>79</v>
      </c>
      <c r="N120" s="27">
        <v>0.17829</v>
      </c>
      <c r="O120" s="28">
        <v>92</v>
      </c>
      <c r="P120" s="31">
        <v>0.42219000000000001</v>
      </c>
      <c r="Q120" s="32">
        <v>79</v>
      </c>
      <c r="S120" s="16"/>
    </row>
    <row r="121" spans="11:19" x14ac:dyDescent="0.3">
      <c r="K121" s="18">
        <v>115</v>
      </c>
      <c r="L121" s="23">
        <v>0.79212000000000005</v>
      </c>
      <c r="M121" s="24">
        <v>88</v>
      </c>
      <c r="N121" s="27">
        <v>0.65588999999999997</v>
      </c>
      <c r="O121" s="28">
        <v>86</v>
      </c>
      <c r="P121" s="31">
        <v>0.79212000000000005</v>
      </c>
      <c r="Q121" s="32">
        <v>88</v>
      </c>
      <c r="S121" s="16"/>
    </row>
    <row r="122" spans="11:19" x14ac:dyDescent="0.3">
      <c r="K122" s="18">
        <v>116</v>
      </c>
      <c r="L122" s="23">
        <v>0.99758000000000002</v>
      </c>
      <c r="M122" s="24">
        <v>101</v>
      </c>
      <c r="N122" s="27">
        <v>0.73243999999999998</v>
      </c>
      <c r="O122" s="28">
        <v>75</v>
      </c>
      <c r="P122" s="31">
        <v>0.99758000000000002</v>
      </c>
      <c r="Q122" s="32">
        <v>101</v>
      </c>
      <c r="S122" s="16"/>
    </row>
    <row r="123" spans="11:19" x14ac:dyDescent="0.3">
      <c r="K123" s="18">
        <v>117</v>
      </c>
      <c r="L123" s="23">
        <v>0.16689999999999999</v>
      </c>
      <c r="M123" s="24">
        <v>42</v>
      </c>
      <c r="N123" s="27">
        <v>4.1939999999999998E-2</v>
      </c>
      <c r="O123" s="28">
        <v>32</v>
      </c>
      <c r="P123" s="31">
        <v>0.16689999999999999</v>
      </c>
      <c r="Q123" s="32">
        <v>42</v>
      </c>
      <c r="S123" s="16"/>
    </row>
    <row r="124" spans="11:19" x14ac:dyDescent="0.3">
      <c r="K124" s="18">
        <v>118</v>
      </c>
      <c r="L124" s="23">
        <v>0.25528000000000001</v>
      </c>
      <c r="M124" s="24">
        <v>82</v>
      </c>
      <c r="N124" s="27">
        <v>5.4719999999999998E-2</v>
      </c>
      <c r="O124" s="28">
        <v>81</v>
      </c>
      <c r="P124" s="31">
        <v>0.25528000000000001</v>
      </c>
      <c r="Q124" s="32">
        <v>82</v>
      </c>
      <c r="S124" s="16"/>
    </row>
    <row r="125" spans="11:19" x14ac:dyDescent="0.3">
      <c r="K125" s="18">
        <v>119</v>
      </c>
      <c r="L125" s="23">
        <v>1.1585000000000001</v>
      </c>
      <c r="M125" s="24">
        <v>331</v>
      </c>
      <c r="N125" s="27">
        <v>0.74333000000000005</v>
      </c>
      <c r="O125" s="28">
        <v>343</v>
      </c>
      <c r="P125" s="31">
        <v>1.1571</v>
      </c>
      <c r="Q125" s="32">
        <v>331</v>
      </c>
      <c r="S125" s="16"/>
    </row>
    <row r="126" spans="11:19" x14ac:dyDescent="0.3">
      <c r="K126" s="18">
        <v>120</v>
      </c>
      <c r="L126" s="23">
        <v>6.9851000000000001</v>
      </c>
      <c r="M126" s="24">
        <v>433</v>
      </c>
      <c r="N126" s="27">
        <v>5.0327999999999999</v>
      </c>
      <c r="O126" s="28">
        <v>410</v>
      </c>
      <c r="P126" s="31">
        <v>6.9508999999999999</v>
      </c>
      <c r="Q126" s="32">
        <v>433</v>
      </c>
      <c r="S126" s="16"/>
    </row>
    <row r="127" spans="11:19" x14ac:dyDescent="0.3">
      <c r="K127" s="18">
        <v>121</v>
      </c>
      <c r="L127" s="23">
        <v>0.83864000000000005</v>
      </c>
      <c r="M127" s="24">
        <v>77</v>
      </c>
      <c r="N127" s="27">
        <v>0.13971</v>
      </c>
      <c r="O127" s="28">
        <v>79</v>
      </c>
      <c r="P127" s="31">
        <v>0.83864000000000005</v>
      </c>
      <c r="Q127" s="32">
        <v>77</v>
      </c>
      <c r="S127" s="16"/>
    </row>
    <row r="128" spans="11:19" x14ac:dyDescent="0.3">
      <c r="K128" s="18">
        <v>122</v>
      </c>
      <c r="L128" s="23">
        <v>0.51209000000000005</v>
      </c>
      <c r="M128" s="24">
        <v>95</v>
      </c>
      <c r="N128" s="27">
        <v>0.35781000000000002</v>
      </c>
      <c r="O128" s="28">
        <v>111</v>
      </c>
      <c r="P128" s="31">
        <v>0.51209000000000005</v>
      </c>
      <c r="Q128" s="32">
        <v>95</v>
      </c>
      <c r="S128" s="16"/>
    </row>
    <row r="129" spans="11:19" x14ac:dyDescent="0.3">
      <c r="K129" s="18">
        <v>123</v>
      </c>
      <c r="L129" s="23">
        <v>1.2323</v>
      </c>
      <c r="M129" s="24">
        <v>234</v>
      </c>
      <c r="N129" s="27">
        <v>1.1195999999999999</v>
      </c>
      <c r="O129" s="28">
        <v>217</v>
      </c>
      <c r="P129" s="31">
        <v>1.2295</v>
      </c>
      <c r="Q129" s="32">
        <v>234</v>
      </c>
      <c r="S129" s="16"/>
    </row>
    <row r="130" spans="11:19" x14ac:dyDescent="0.3">
      <c r="K130" s="19">
        <v>124</v>
      </c>
      <c r="L130" s="23">
        <v>0.46919</v>
      </c>
      <c r="M130" s="24">
        <v>51</v>
      </c>
      <c r="N130" s="29">
        <v>0.28577000000000002</v>
      </c>
      <c r="O130" s="30">
        <v>51</v>
      </c>
      <c r="P130" s="33">
        <v>0.46919</v>
      </c>
      <c r="Q130" s="34">
        <v>51</v>
      </c>
      <c r="S130" s="16"/>
    </row>
    <row r="131" spans="11:19" x14ac:dyDescent="0.3">
      <c r="K131" s="25" t="s">
        <v>0</v>
      </c>
      <c r="L131" s="38">
        <f>SUM(L7:L130)/K4</f>
        <v>1.0163183870967747</v>
      </c>
      <c r="M131" s="39"/>
      <c r="N131" s="46">
        <f>SUM(N7:N130)/K4</f>
        <v>0.78646758064516109</v>
      </c>
      <c r="O131" s="47"/>
      <c r="P131" s="42">
        <f>SUM(P7:P130)/K4</f>
        <v>1.3466014516129037</v>
      </c>
      <c r="Q131" s="43"/>
    </row>
    <row r="132" spans="11:19" ht="14.4" customHeight="1" x14ac:dyDescent="0.3">
      <c r="K132" s="26" t="s">
        <v>1</v>
      </c>
      <c r="L132" s="40">
        <f>VAR(L7:L130)</f>
        <v>1.0844983521502216</v>
      </c>
      <c r="M132" s="41"/>
      <c r="N132" s="48">
        <f>VAR(N7:N130)</f>
        <v>2.2538813806184894</v>
      </c>
      <c r="O132" s="49"/>
      <c r="P132" s="44">
        <f>VAR(P7:P130)</f>
        <v>8.9426617315019374</v>
      </c>
      <c r="Q132" s="45"/>
    </row>
  </sheetData>
  <mergeCells count="7">
    <mergeCell ref="P5:Q5"/>
    <mergeCell ref="K5:K6"/>
    <mergeCell ref="M4:O4"/>
    <mergeCell ref="B1:E2"/>
    <mergeCell ref="A5:D5"/>
    <mergeCell ref="L5:M5"/>
    <mergeCell ref="N5:O5"/>
  </mergeCells>
  <conditionalFormatting sqref="I31:I34">
    <cfRule type="containsText" dxfId="1" priority="1" operator="containsText" text="NO">
      <formula>NOT(ISERROR(SEARCH("NO",I31)))</formula>
    </cfRule>
    <cfRule type="containsText" dxfId="0" priority="2" operator="containsText" text="YES">
      <formula>NOT(ISERROR(SEARCH("YES",I31)))</formula>
    </cfRule>
  </conditionalFormatting>
  <pageMargins left="0.7" right="0.7" top="0.75" bottom="0.75" header="0.3" footer="0.3"/>
  <pageSetup paperSize="9" orientation="portrait" horizontalDpi="360" verticalDpi="36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50DFB-728F-4E9D-8F7D-2210210DFD55}">
  <sheetPr codeName="Foglio3"/>
  <dimension ref="A1:C125"/>
  <sheetViews>
    <sheetView zoomScale="58" workbookViewId="0">
      <selection activeCell="H101" sqref="H101"/>
    </sheetView>
  </sheetViews>
  <sheetFormatPr defaultRowHeight="14.4" x14ac:dyDescent="0.3"/>
  <sheetData>
    <row r="1" spans="1:3" ht="57.6" x14ac:dyDescent="0.3">
      <c r="A1" s="15" t="s">
        <v>10</v>
      </c>
      <c r="B1" s="15" t="s">
        <v>14</v>
      </c>
      <c r="C1" s="15" t="s">
        <v>11</v>
      </c>
    </row>
    <row r="2" spans="1:3" x14ac:dyDescent="0.3">
      <c r="A2" s="16">
        <v>1</v>
      </c>
      <c r="B2" s="16" t="s">
        <v>15</v>
      </c>
      <c r="C2" s="16">
        <v>34</v>
      </c>
    </row>
    <row r="3" spans="1:3" x14ac:dyDescent="0.3">
      <c r="A3" s="16">
        <v>2</v>
      </c>
      <c r="B3" s="17">
        <v>11651</v>
      </c>
      <c r="C3" s="16">
        <v>200</v>
      </c>
    </row>
    <row r="4" spans="1:3" x14ac:dyDescent="0.3">
      <c r="A4" s="16">
        <v>3</v>
      </c>
      <c r="B4" s="16" t="s">
        <v>16</v>
      </c>
      <c r="C4" s="16">
        <v>63</v>
      </c>
    </row>
    <row r="5" spans="1:3" x14ac:dyDescent="0.3">
      <c r="A5" s="16">
        <v>4</v>
      </c>
      <c r="B5" s="17">
        <v>28124</v>
      </c>
      <c r="C5" s="16">
        <v>468</v>
      </c>
    </row>
    <row r="6" spans="1:3" x14ac:dyDescent="0.3">
      <c r="A6" s="16">
        <v>5</v>
      </c>
      <c r="B6" s="16" t="s">
        <v>17</v>
      </c>
      <c r="C6" s="16">
        <v>267</v>
      </c>
    </row>
    <row r="7" spans="1:3" x14ac:dyDescent="0.3">
      <c r="A7" s="16">
        <v>6</v>
      </c>
      <c r="B7" s="17">
        <v>13337</v>
      </c>
      <c r="C7" s="16">
        <v>219</v>
      </c>
    </row>
    <row r="8" spans="1:3" x14ac:dyDescent="0.3">
      <c r="A8" s="16">
        <v>7</v>
      </c>
      <c r="B8" s="16" t="s">
        <v>18</v>
      </c>
      <c r="C8" s="16">
        <v>151</v>
      </c>
    </row>
    <row r="9" spans="1:3" x14ac:dyDescent="0.3">
      <c r="A9" s="16">
        <v>8</v>
      </c>
      <c r="B9" s="16" t="s">
        <v>19</v>
      </c>
      <c r="C9" s="16">
        <v>52</v>
      </c>
    </row>
    <row r="10" spans="1:3" x14ac:dyDescent="0.3">
      <c r="A10" s="16">
        <v>9</v>
      </c>
      <c r="B10" s="16" t="s">
        <v>20</v>
      </c>
      <c r="C10" s="16">
        <v>235</v>
      </c>
    </row>
    <row r="11" spans="1:3" x14ac:dyDescent="0.3">
      <c r="A11" s="16">
        <v>10</v>
      </c>
      <c r="B11" s="16" t="s">
        <v>21</v>
      </c>
      <c r="C11" s="16">
        <v>88</v>
      </c>
    </row>
    <row r="12" spans="1:3" x14ac:dyDescent="0.3">
      <c r="A12" s="16">
        <v>11</v>
      </c>
      <c r="B12" s="16" t="s">
        <v>22</v>
      </c>
      <c r="C12" s="16">
        <v>86</v>
      </c>
    </row>
    <row r="13" spans="1:3" x14ac:dyDescent="0.3">
      <c r="A13" s="16">
        <v>12</v>
      </c>
      <c r="B13" s="16" t="s">
        <v>23</v>
      </c>
      <c r="C13" s="16">
        <v>146</v>
      </c>
    </row>
    <row r="14" spans="1:3" x14ac:dyDescent="0.3">
      <c r="A14" s="16">
        <v>13</v>
      </c>
      <c r="B14" s="16" t="s">
        <v>24</v>
      </c>
      <c r="C14" s="16">
        <v>93</v>
      </c>
    </row>
    <row r="15" spans="1:3" x14ac:dyDescent="0.3">
      <c r="A15" s="16">
        <v>14</v>
      </c>
      <c r="B15" s="16" t="s">
        <v>25</v>
      </c>
      <c r="C15" s="16">
        <v>111</v>
      </c>
    </row>
    <row r="16" spans="1:3" x14ac:dyDescent="0.3">
      <c r="A16" s="16">
        <v>15</v>
      </c>
      <c r="B16" s="16" t="s">
        <v>26</v>
      </c>
      <c r="C16" s="16">
        <v>169</v>
      </c>
    </row>
    <row r="17" spans="1:3" x14ac:dyDescent="0.3">
      <c r="A17" s="16">
        <v>16</v>
      </c>
      <c r="B17" s="16" t="s">
        <v>27</v>
      </c>
      <c r="C17" s="16">
        <v>28</v>
      </c>
    </row>
    <row r="18" spans="1:3" x14ac:dyDescent="0.3">
      <c r="A18" s="16">
        <v>17</v>
      </c>
      <c r="B18" s="16" t="s">
        <v>28</v>
      </c>
      <c r="C18" s="16">
        <v>181</v>
      </c>
    </row>
    <row r="19" spans="1:3" x14ac:dyDescent="0.3">
      <c r="A19" s="16">
        <v>18</v>
      </c>
      <c r="B19" s="17">
        <v>25166</v>
      </c>
      <c r="C19" s="16">
        <v>360</v>
      </c>
    </row>
    <row r="20" spans="1:3" x14ac:dyDescent="0.3">
      <c r="A20" s="16">
        <v>19</v>
      </c>
      <c r="B20" s="16" t="s">
        <v>29</v>
      </c>
      <c r="C20" s="16">
        <v>70</v>
      </c>
    </row>
    <row r="21" spans="1:3" x14ac:dyDescent="0.3">
      <c r="A21" s="16">
        <v>20</v>
      </c>
      <c r="B21" s="16" t="s">
        <v>30</v>
      </c>
      <c r="C21" s="16">
        <v>36</v>
      </c>
    </row>
    <row r="22" spans="1:3" x14ac:dyDescent="0.3">
      <c r="A22" s="16">
        <v>21</v>
      </c>
      <c r="B22" s="16" t="s">
        <v>31</v>
      </c>
      <c r="C22" s="16">
        <v>139</v>
      </c>
    </row>
    <row r="23" spans="1:3" x14ac:dyDescent="0.3">
      <c r="A23" s="16">
        <v>22</v>
      </c>
      <c r="B23" s="16" t="s">
        <v>32</v>
      </c>
      <c r="C23" s="16">
        <v>126</v>
      </c>
    </row>
    <row r="24" spans="1:3" x14ac:dyDescent="0.3">
      <c r="A24" s="16">
        <v>23</v>
      </c>
      <c r="B24" s="16" t="s">
        <v>33</v>
      </c>
      <c r="C24" s="16">
        <v>96</v>
      </c>
    </row>
    <row r="25" spans="1:3" x14ac:dyDescent="0.3">
      <c r="A25" s="16">
        <v>24</v>
      </c>
      <c r="B25" s="16" t="s">
        <v>34</v>
      </c>
      <c r="C25" s="16">
        <v>121</v>
      </c>
    </row>
    <row r="26" spans="1:3" x14ac:dyDescent="0.3">
      <c r="A26" s="16">
        <v>25</v>
      </c>
      <c r="B26" s="16" t="s">
        <v>35</v>
      </c>
      <c r="C26" s="16">
        <v>107</v>
      </c>
    </row>
    <row r="27" spans="1:3" x14ac:dyDescent="0.3">
      <c r="A27" s="16">
        <v>26</v>
      </c>
      <c r="B27" s="17">
        <v>15848</v>
      </c>
      <c r="C27" s="16">
        <v>333</v>
      </c>
    </row>
    <row r="28" spans="1:3" x14ac:dyDescent="0.3">
      <c r="A28" s="16">
        <v>27</v>
      </c>
      <c r="B28" s="16" t="s">
        <v>36</v>
      </c>
      <c r="C28" s="16">
        <v>93</v>
      </c>
    </row>
    <row r="29" spans="1:3" x14ac:dyDescent="0.3">
      <c r="A29" s="16">
        <v>28</v>
      </c>
      <c r="B29" s="16" t="s">
        <v>37</v>
      </c>
      <c r="C29" s="16">
        <v>65</v>
      </c>
    </row>
    <row r="30" spans="1:3" x14ac:dyDescent="0.3">
      <c r="A30" s="16">
        <v>29</v>
      </c>
      <c r="B30" s="16" t="s">
        <v>38</v>
      </c>
      <c r="C30" s="16">
        <v>78</v>
      </c>
    </row>
    <row r="31" spans="1:3" x14ac:dyDescent="0.3">
      <c r="A31" s="16">
        <v>30</v>
      </c>
      <c r="B31" s="17">
        <v>10278</v>
      </c>
      <c r="C31" s="16">
        <v>131</v>
      </c>
    </row>
    <row r="32" spans="1:3" x14ac:dyDescent="0.3">
      <c r="A32" s="16">
        <v>31</v>
      </c>
      <c r="B32" s="16" t="s">
        <v>39</v>
      </c>
      <c r="C32" s="16">
        <v>103</v>
      </c>
    </row>
    <row r="33" spans="1:3" x14ac:dyDescent="0.3">
      <c r="A33" s="16">
        <v>32</v>
      </c>
      <c r="B33" s="17">
        <v>11153</v>
      </c>
      <c r="C33" s="16">
        <v>142</v>
      </c>
    </row>
    <row r="34" spans="1:3" x14ac:dyDescent="0.3">
      <c r="A34" s="16">
        <v>33</v>
      </c>
      <c r="B34" s="16" t="s">
        <v>40</v>
      </c>
      <c r="C34" s="16">
        <v>87</v>
      </c>
    </row>
    <row r="35" spans="1:3" x14ac:dyDescent="0.3">
      <c r="A35" s="16">
        <v>34</v>
      </c>
      <c r="B35" s="16" t="s">
        <v>41</v>
      </c>
      <c r="C35" s="16">
        <v>36</v>
      </c>
    </row>
    <row r="36" spans="1:3" x14ac:dyDescent="0.3">
      <c r="A36" s="16">
        <v>35</v>
      </c>
      <c r="B36" s="16" t="s">
        <v>42</v>
      </c>
      <c r="C36" s="16">
        <v>62</v>
      </c>
    </row>
    <row r="37" spans="1:3" x14ac:dyDescent="0.3">
      <c r="A37" s="16">
        <v>36</v>
      </c>
      <c r="B37" s="16" t="s">
        <v>43</v>
      </c>
      <c r="C37" s="16">
        <v>63</v>
      </c>
    </row>
    <row r="38" spans="1:3" x14ac:dyDescent="0.3">
      <c r="A38" s="16">
        <v>37</v>
      </c>
      <c r="B38" s="17">
        <v>10548</v>
      </c>
      <c r="C38" s="16">
        <v>167</v>
      </c>
    </row>
    <row r="39" spans="1:3" x14ac:dyDescent="0.3">
      <c r="A39" s="16">
        <v>38</v>
      </c>
      <c r="B39" s="16" t="s">
        <v>44</v>
      </c>
      <c r="C39" s="16">
        <v>123</v>
      </c>
    </row>
    <row r="40" spans="1:3" x14ac:dyDescent="0.3">
      <c r="A40" s="16">
        <v>39</v>
      </c>
      <c r="B40" s="17">
        <v>14046</v>
      </c>
      <c r="C40" s="16">
        <v>157</v>
      </c>
    </row>
    <row r="41" spans="1:3" x14ac:dyDescent="0.3">
      <c r="A41" s="16">
        <v>40</v>
      </c>
      <c r="B41" s="16" t="s">
        <v>45</v>
      </c>
      <c r="C41" s="16">
        <v>148</v>
      </c>
    </row>
    <row r="42" spans="1:3" x14ac:dyDescent="0.3">
      <c r="A42" s="16">
        <v>41</v>
      </c>
      <c r="B42" s="16" t="s">
        <v>46</v>
      </c>
      <c r="C42" s="16">
        <v>133</v>
      </c>
    </row>
    <row r="43" spans="1:3" x14ac:dyDescent="0.3">
      <c r="A43" s="16">
        <v>42</v>
      </c>
      <c r="B43" s="16" t="s">
        <v>47</v>
      </c>
      <c r="C43" s="16">
        <v>112</v>
      </c>
    </row>
    <row r="44" spans="1:3" x14ac:dyDescent="0.3">
      <c r="A44" s="16">
        <v>43</v>
      </c>
      <c r="B44" s="16" t="s">
        <v>48</v>
      </c>
      <c r="C44" s="16">
        <v>94</v>
      </c>
    </row>
    <row r="45" spans="1:3" x14ac:dyDescent="0.3">
      <c r="A45" s="16">
        <v>44</v>
      </c>
      <c r="B45" s="16" t="s">
        <v>49</v>
      </c>
      <c r="C45" s="16">
        <v>94</v>
      </c>
    </row>
    <row r="46" spans="1:3" x14ac:dyDescent="0.3">
      <c r="A46" s="16">
        <v>45</v>
      </c>
      <c r="B46" s="16" t="s">
        <v>50</v>
      </c>
      <c r="C46" s="16">
        <v>48</v>
      </c>
    </row>
    <row r="47" spans="1:3" x14ac:dyDescent="0.3">
      <c r="A47" s="16">
        <v>46</v>
      </c>
      <c r="B47" s="16" t="s">
        <v>51</v>
      </c>
      <c r="C47" s="16">
        <v>192</v>
      </c>
    </row>
    <row r="48" spans="1:3" x14ac:dyDescent="0.3">
      <c r="A48" s="16">
        <v>47</v>
      </c>
      <c r="B48" s="16" t="s">
        <v>52</v>
      </c>
      <c r="C48" s="16">
        <v>139</v>
      </c>
    </row>
    <row r="49" spans="1:3" x14ac:dyDescent="0.3">
      <c r="A49" s="16">
        <v>48</v>
      </c>
      <c r="B49" s="17">
        <v>14685</v>
      </c>
      <c r="C49" s="16">
        <v>275</v>
      </c>
    </row>
    <row r="50" spans="1:3" x14ac:dyDescent="0.3">
      <c r="A50" s="16">
        <v>49</v>
      </c>
      <c r="B50" s="16" t="s">
        <v>53</v>
      </c>
      <c r="C50" s="16">
        <v>187</v>
      </c>
    </row>
    <row r="51" spans="1:3" x14ac:dyDescent="0.3">
      <c r="A51" s="16">
        <v>50</v>
      </c>
      <c r="B51" s="17">
        <v>11998</v>
      </c>
      <c r="C51" s="16">
        <v>77</v>
      </c>
    </row>
    <row r="52" spans="1:3" x14ac:dyDescent="0.3">
      <c r="A52" s="16">
        <v>51</v>
      </c>
      <c r="B52" s="16" t="s">
        <v>54</v>
      </c>
      <c r="C52" s="16">
        <v>209</v>
      </c>
    </row>
    <row r="53" spans="1:3" x14ac:dyDescent="0.3">
      <c r="A53" s="16">
        <v>52</v>
      </c>
      <c r="B53" s="17">
        <v>10085</v>
      </c>
      <c r="C53" s="16">
        <v>50</v>
      </c>
    </row>
    <row r="54" spans="1:3" x14ac:dyDescent="0.3">
      <c r="A54" s="16">
        <v>53</v>
      </c>
      <c r="B54" s="17">
        <v>27328</v>
      </c>
      <c r="C54" s="16">
        <v>224</v>
      </c>
    </row>
    <row r="55" spans="1:3" x14ac:dyDescent="0.3">
      <c r="A55" s="16">
        <v>54</v>
      </c>
      <c r="B55" s="17">
        <v>16629</v>
      </c>
      <c r="C55" s="16">
        <v>241</v>
      </c>
    </row>
    <row r="56" spans="1:3" x14ac:dyDescent="0.3">
      <c r="A56" s="16">
        <v>55</v>
      </c>
      <c r="B56" s="17">
        <v>11964</v>
      </c>
      <c r="C56" s="16">
        <v>254</v>
      </c>
    </row>
    <row r="57" spans="1:3" x14ac:dyDescent="0.3">
      <c r="A57" s="16">
        <v>56</v>
      </c>
      <c r="B57" s="17">
        <v>12370</v>
      </c>
      <c r="C57" s="16">
        <v>90</v>
      </c>
    </row>
    <row r="58" spans="1:3" x14ac:dyDescent="0.3">
      <c r="A58" s="16">
        <v>57</v>
      </c>
      <c r="B58" s="16" t="s">
        <v>55</v>
      </c>
      <c r="C58" s="16">
        <v>25</v>
      </c>
    </row>
    <row r="59" spans="1:3" x14ac:dyDescent="0.3">
      <c r="A59" s="16">
        <v>58</v>
      </c>
      <c r="B59" s="16" t="s">
        <v>56</v>
      </c>
      <c r="C59" s="16">
        <v>129</v>
      </c>
    </row>
    <row r="60" spans="1:3" x14ac:dyDescent="0.3">
      <c r="A60" s="16">
        <v>59</v>
      </c>
      <c r="B60" s="16" t="s">
        <v>29</v>
      </c>
      <c r="C60" s="16">
        <v>143</v>
      </c>
    </row>
    <row r="61" spans="1:3" x14ac:dyDescent="0.3">
      <c r="A61" s="16">
        <v>60</v>
      </c>
      <c r="B61" s="16" t="s">
        <v>57</v>
      </c>
      <c r="C61" s="16">
        <v>126</v>
      </c>
    </row>
    <row r="62" spans="1:3" x14ac:dyDescent="0.3">
      <c r="A62" s="16">
        <v>61</v>
      </c>
      <c r="B62" s="16" t="s">
        <v>58</v>
      </c>
      <c r="C62" s="16">
        <v>151</v>
      </c>
    </row>
    <row r="63" spans="1:3" x14ac:dyDescent="0.3">
      <c r="A63" s="16">
        <v>62</v>
      </c>
      <c r="B63" s="17">
        <v>52413</v>
      </c>
      <c r="C63" s="16">
        <v>352</v>
      </c>
    </row>
    <row r="64" spans="1:3" x14ac:dyDescent="0.3">
      <c r="A64" s="16">
        <v>63</v>
      </c>
      <c r="B64" s="16" t="s">
        <v>59</v>
      </c>
      <c r="C64" s="16">
        <v>68</v>
      </c>
    </row>
    <row r="65" spans="1:3" x14ac:dyDescent="0.3">
      <c r="A65" s="16">
        <v>64</v>
      </c>
      <c r="B65" s="16" t="s">
        <v>60</v>
      </c>
      <c r="C65" s="16">
        <v>193</v>
      </c>
    </row>
    <row r="66" spans="1:3" x14ac:dyDescent="0.3">
      <c r="A66" s="16">
        <v>65</v>
      </c>
      <c r="B66" s="17">
        <v>10372</v>
      </c>
      <c r="C66" s="16">
        <v>297</v>
      </c>
    </row>
    <row r="67" spans="1:3" x14ac:dyDescent="0.3">
      <c r="A67" s="16">
        <v>66</v>
      </c>
      <c r="B67" s="17">
        <v>34649</v>
      </c>
      <c r="C67" s="16">
        <v>338</v>
      </c>
    </row>
    <row r="68" spans="1:3" x14ac:dyDescent="0.3">
      <c r="A68" s="16">
        <v>67</v>
      </c>
      <c r="B68" s="16" t="s">
        <v>61</v>
      </c>
      <c r="C68" s="16">
        <v>101</v>
      </c>
    </row>
    <row r="69" spans="1:3" x14ac:dyDescent="0.3">
      <c r="A69" s="16">
        <v>68</v>
      </c>
      <c r="B69" s="16" t="s">
        <v>62</v>
      </c>
      <c r="C69" s="16">
        <v>57</v>
      </c>
    </row>
    <row r="70" spans="1:3" x14ac:dyDescent="0.3">
      <c r="A70" s="16">
        <v>69</v>
      </c>
      <c r="B70" s="16" t="s">
        <v>63</v>
      </c>
      <c r="C70" s="16">
        <v>162</v>
      </c>
    </row>
    <row r="71" spans="1:3" x14ac:dyDescent="0.3">
      <c r="A71" s="16">
        <v>70</v>
      </c>
      <c r="B71" s="16" t="s">
        <v>64</v>
      </c>
      <c r="C71" s="16">
        <v>62</v>
      </c>
    </row>
    <row r="72" spans="1:3" x14ac:dyDescent="0.3">
      <c r="A72" s="16">
        <v>71</v>
      </c>
      <c r="B72" s="16" t="s">
        <v>65</v>
      </c>
      <c r="C72" s="16">
        <v>139</v>
      </c>
    </row>
    <row r="73" spans="1:3" x14ac:dyDescent="0.3">
      <c r="A73" s="16">
        <v>72</v>
      </c>
      <c r="B73" s="16" t="s">
        <v>66</v>
      </c>
      <c r="C73" s="16">
        <v>149</v>
      </c>
    </row>
    <row r="74" spans="1:3" x14ac:dyDescent="0.3">
      <c r="A74" s="16">
        <v>73</v>
      </c>
      <c r="B74" s="16" t="s">
        <v>67</v>
      </c>
      <c r="C74" s="16">
        <v>80</v>
      </c>
    </row>
    <row r="75" spans="1:3" x14ac:dyDescent="0.3">
      <c r="A75" s="16">
        <v>74</v>
      </c>
      <c r="B75" s="16" t="s">
        <v>68</v>
      </c>
      <c r="C75" s="16">
        <v>155</v>
      </c>
    </row>
    <row r="76" spans="1:3" x14ac:dyDescent="0.3">
      <c r="A76" s="16">
        <v>75</v>
      </c>
      <c r="B76" s="16" t="s">
        <v>69</v>
      </c>
      <c r="C76" s="16">
        <v>140</v>
      </c>
    </row>
    <row r="77" spans="1:3" x14ac:dyDescent="0.3">
      <c r="A77" s="16">
        <v>76</v>
      </c>
      <c r="B77" s="17">
        <v>11675</v>
      </c>
      <c r="C77" s="16">
        <v>202</v>
      </c>
    </row>
    <row r="78" spans="1:3" x14ac:dyDescent="0.3">
      <c r="A78" s="16">
        <v>77</v>
      </c>
      <c r="B78" s="16" t="s">
        <v>70</v>
      </c>
      <c r="C78" s="16">
        <v>52</v>
      </c>
    </row>
    <row r="79" spans="1:3" x14ac:dyDescent="0.3">
      <c r="A79" s="16">
        <v>78</v>
      </c>
      <c r="B79" s="17">
        <v>10134</v>
      </c>
      <c r="C79" s="16">
        <v>232</v>
      </c>
    </row>
    <row r="80" spans="1:3" x14ac:dyDescent="0.3">
      <c r="A80" s="16">
        <v>79</v>
      </c>
      <c r="B80" s="16" t="s">
        <v>71</v>
      </c>
      <c r="C80" s="16">
        <v>106</v>
      </c>
    </row>
    <row r="81" spans="1:3" x14ac:dyDescent="0.3">
      <c r="A81" s="16">
        <v>80</v>
      </c>
      <c r="B81" s="16" t="s">
        <v>72</v>
      </c>
      <c r="C81" s="16">
        <v>106</v>
      </c>
    </row>
    <row r="82" spans="1:3" x14ac:dyDescent="0.3">
      <c r="A82" s="16">
        <v>81</v>
      </c>
      <c r="B82" s="17">
        <v>23746</v>
      </c>
      <c r="C82" s="16">
        <v>241</v>
      </c>
    </row>
    <row r="83" spans="1:3" x14ac:dyDescent="0.3">
      <c r="A83" s="16">
        <v>82</v>
      </c>
      <c r="B83" s="16" t="s">
        <v>73</v>
      </c>
      <c r="C83" s="16">
        <v>100</v>
      </c>
    </row>
    <row r="84" spans="1:3" x14ac:dyDescent="0.3">
      <c r="A84" s="16">
        <v>83</v>
      </c>
      <c r="B84" s="16" t="s">
        <v>74</v>
      </c>
      <c r="C84" s="16">
        <v>160</v>
      </c>
    </row>
    <row r="85" spans="1:3" x14ac:dyDescent="0.3">
      <c r="A85" s="16">
        <v>84</v>
      </c>
      <c r="B85" s="17">
        <v>16846</v>
      </c>
      <c r="C85" s="16">
        <v>210</v>
      </c>
    </row>
    <row r="86" spans="1:3" x14ac:dyDescent="0.3">
      <c r="A86" s="16">
        <v>85</v>
      </c>
      <c r="B86" s="16" t="s">
        <v>75</v>
      </c>
      <c r="C86" s="16">
        <v>98</v>
      </c>
    </row>
    <row r="87" spans="1:3" x14ac:dyDescent="0.3">
      <c r="A87" s="16">
        <v>86</v>
      </c>
      <c r="B87" s="17">
        <v>22022</v>
      </c>
      <c r="C87" s="16">
        <v>302</v>
      </c>
    </row>
    <row r="88" spans="1:3" x14ac:dyDescent="0.3">
      <c r="A88" s="16">
        <v>87</v>
      </c>
      <c r="B88" s="16" t="s">
        <v>76</v>
      </c>
      <c r="C88" s="16">
        <v>69</v>
      </c>
    </row>
    <row r="89" spans="1:3" x14ac:dyDescent="0.3">
      <c r="A89" s="16">
        <v>88</v>
      </c>
      <c r="B89" s="17">
        <v>19490</v>
      </c>
      <c r="C89" s="16">
        <v>468</v>
      </c>
    </row>
    <row r="90" spans="1:3" x14ac:dyDescent="0.3">
      <c r="A90" s="16">
        <v>89</v>
      </c>
      <c r="B90" s="17">
        <v>43873</v>
      </c>
      <c r="C90" s="16">
        <v>300</v>
      </c>
    </row>
    <row r="91" spans="1:3" x14ac:dyDescent="0.3">
      <c r="A91" s="16">
        <v>90</v>
      </c>
      <c r="B91" s="17">
        <v>11117</v>
      </c>
      <c r="C91" s="16">
        <v>133</v>
      </c>
    </row>
    <row r="92" spans="1:3" x14ac:dyDescent="0.3">
      <c r="A92" s="16">
        <v>91</v>
      </c>
      <c r="B92" s="16" t="s">
        <v>77</v>
      </c>
      <c r="C92" s="16">
        <v>17</v>
      </c>
    </row>
    <row r="93" spans="1:3" x14ac:dyDescent="0.3">
      <c r="A93" s="16">
        <v>92</v>
      </c>
      <c r="B93" s="17">
        <v>26138</v>
      </c>
      <c r="C93" s="16">
        <v>425</v>
      </c>
    </row>
    <row r="94" spans="1:3" x14ac:dyDescent="0.3">
      <c r="A94" s="16">
        <v>93</v>
      </c>
      <c r="B94" s="17">
        <v>10710</v>
      </c>
      <c r="C94" s="16">
        <v>160</v>
      </c>
    </row>
    <row r="95" spans="1:3" x14ac:dyDescent="0.3">
      <c r="A95" s="16">
        <v>94</v>
      </c>
      <c r="B95" s="17">
        <v>51590</v>
      </c>
      <c r="C95" s="16">
        <v>414</v>
      </c>
    </row>
    <row r="96" spans="1:3" x14ac:dyDescent="0.3">
      <c r="A96" s="16">
        <v>95</v>
      </c>
      <c r="B96" s="16" t="s">
        <v>78</v>
      </c>
      <c r="C96" s="16">
        <v>100</v>
      </c>
    </row>
    <row r="97" spans="1:3" x14ac:dyDescent="0.3">
      <c r="A97" s="16">
        <v>96</v>
      </c>
      <c r="B97" s="16" t="s">
        <v>79</v>
      </c>
      <c r="C97" s="16">
        <v>74</v>
      </c>
    </row>
    <row r="98" spans="1:3" x14ac:dyDescent="0.3">
      <c r="A98" s="16">
        <v>97</v>
      </c>
      <c r="B98" s="16" t="s">
        <v>80</v>
      </c>
      <c r="C98" s="16">
        <v>63</v>
      </c>
    </row>
    <row r="99" spans="1:3" x14ac:dyDescent="0.3">
      <c r="A99" s="16">
        <v>98</v>
      </c>
      <c r="B99" s="17">
        <v>17905</v>
      </c>
      <c r="C99" s="16">
        <v>305</v>
      </c>
    </row>
    <row r="100" spans="1:3" x14ac:dyDescent="0.3">
      <c r="A100" s="16">
        <v>99</v>
      </c>
      <c r="B100" s="17">
        <v>25240</v>
      </c>
      <c r="C100" s="16">
        <v>238</v>
      </c>
    </row>
    <row r="101" spans="1:3" x14ac:dyDescent="0.3">
      <c r="A101" s="16">
        <v>100</v>
      </c>
      <c r="B101" s="16" t="s">
        <v>81</v>
      </c>
      <c r="C101" s="16">
        <v>61</v>
      </c>
    </row>
    <row r="102" spans="1:3" x14ac:dyDescent="0.3">
      <c r="A102" s="16">
        <v>101</v>
      </c>
      <c r="B102" s="16" t="s">
        <v>82</v>
      </c>
      <c r="C102" s="16">
        <v>91</v>
      </c>
    </row>
    <row r="103" spans="1:3" x14ac:dyDescent="0.3">
      <c r="A103" s="16">
        <v>102</v>
      </c>
      <c r="B103" s="16" t="s">
        <v>83</v>
      </c>
      <c r="C103" s="16">
        <v>63</v>
      </c>
    </row>
    <row r="104" spans="1:3" x14ac:dyDescent="0.3">
      <c r="A104" s="16">
        <v>103</v>
      </c>
      <c r="B104" s="16" t="s">
        <v>84</v>
      </c>
      <c r="C104" s="16">
        <v>40</v>
      </c>
    </row>
    <row r="105" spans="1:3" x14ac:dyDescent="0.3">
      <c r="A105" s="16">
        <v>104</v>
      </c>
      <c r="B105" s="17">
        <v>23631</v>
      </c>
      <c r="C105" s="16">
        <v>148</v>
      </c>
    </row>
    <row r="106" spans="1:3" x14ac:dyDescent="0.3">
      <c r="A106" s="16">
        <v>105</v>
      </c>
      <c r="B106" s="16" t="s">
        <v>85</v>
      </c>
      <c r="C106" s="16">
        <v>120</v>
      </c>
    </row>
    <row r="107" spans="1:3" x14ac:dyDescent="0.3">
      <c r="A107" s="16">
        <v>106</v>
      </c>
      <c r="B107" s="16" t="s">
        <v>86</v>
      </c>
      <c r="C107" s="16">
        <v>37</v>
      </c>
    </row>
    <row r="108" spans="1:3" x14ac:dyDescent="0.3">
      <c r="A108" s="16">
        <v>107</v>
      </c>
      <c r="B108" s="16" t="s">
        <v>87</v>
      </c>
      <c r="C108" s="16">
        <v>159</v>
      </c>
    </row>
    <row r="109" spans="1:3" x14ac:dyDescent="0.3">
      <c r="A109" s="16">
        <v>108</v>
      </c>
      <c r="B109" s="17">
        <v>18782</v>
      </c>
      <c r="C109" s="16">
        <v>154</v>
      </c>
    </row>
    <row r="110" spans="1:3" x14ac:dyDescent="0.3">
      <c r="A110" s="16">
        <v>109</v>
      </c>
      <c r="B110" s="16" t="s">
        <v>88</v>
      </c>
      <c r="C110" s="16">
        <v>64</v>
      </c>
    </row>
    <row r="111" spans="1:3" x14ac:dyDescent="0.3">
      <c r="A111" s="16">
        <v>110</v>
      </c>
      <c r="B111" s="17">
        <v>15473</v>
      </c>
      <c r="C111" s="16">
        <v>277</v>
      </c>
    </row>
    <row r="112" spans="1:3" x14ac:dyDescent="0.3">
      <c r="A112" s="16">
        <v>111</v>
      </c>
      <c r="B112" s="16" t="s">
        <v>89</v>
      </c>
      <c r="C112" s="16">
        <v>120</v>
      </c>
    </row>
    <row r="113" spans="1:3" x14ac:dyDescent="0.3">
      <c r="A113" s="16">
        <v>112</v>
      </c>
      <c r="B113" s="16" t="s">
        <v>90</v>
      </c>
      <c r="C113" s="16">
        <v>171</v>
      </c>
    </row>
    <row r="114" spans="1:3" x14ac:dyDescent="0.3">
      <c r="A114" s="16">
        <v>113</v>
      </c>
      <c r="B114" s="16" t="s">
        <v>91</v>
      </c>
      <c r="C114" s="16">
        <v>126</v>
      </c>
    </row>
    <row r="115" spans="1:3" x14ac:dyDescent="0.3">
      <c r="A115" s="16">
        <v>114</v>
      </c>
      <c r="B115" s="16" t="s">
        <v>92</v>
      </c>
      <c r="C115" s="16">
        <v>79</v>
      </c>
    </row>
    <row r="116" spans="1:3" x14ac:dyDescent="0.3">
      <c r="A116" s="16">
        <v>115</v>
      </c>
      <c r="B116" s="16" t="s">
        <v>93</v>
      </c>
      <c r="C116" s="16">
        <v>88</v>
      </c>
    </row>
    <row r="117" spans="1:3" x14ac:dyDescent="0.3">
      <c r="A117" s="16">
        <v>116</v>
      </c>
      <c r="B117" s="16" t="s">
        <v>94</v>
      </c>
      <c r="C117" s="16">
        <v>101</v>
      </c>
    </row>
    <row r="118" spans="1:3" x14ac:dyDescent="0.3">
      <c r="A118" s="16">
        <v>117</v>
      </c>
      <c r="B118" s="16" t="s">
        <v>95</v>
      </c>
      <c r="C118" s="16">
        <v>42</v>
      </c>
    </row>
    <row r="119" spans="1:3" x14ac:dyDescent="0.3">
      <c r="A119" s="16">
        <v>118</v>
      </c>
      <c r="B119" s="16" t="s">
        <v>96</v>
      </c>
      <c r="C119" s="16">
        <v>82</v>
      </c>
    </row>
    <row r="120" spans="1:3" x14ac:dyDescent="0.3">
      <c r="A120" s="16">
        <v>119</v>
      </c>
      <c r="B120" s="17">
        <v>11585</v>
      </c>
      <c r="C120" s="16">
        <v>331</v>
      </c>
    </row>
    <row r="121" spans="1:3" x14ac:dyDescent="0.3">
      <c r="A121" s="16">
        <v>120</v>
      </c>
      <c r="B121" s="17">
        <v>69851</v>
      </c>
      <c r="C121" s="16">
        <v>433</v>
      </c>
    </row>
    <row r="122" spans="1:3" x14ac:dyDescent="0.3">
      <c r="A122" s="16">
        <v>121</v>
      </c>
      <c r="B122" s="16" t="s">
        <v>97</v>
      </c>
      <c r="C122" s="16">
        <v>77</v>
      </c>
    </row>
    <row r="123" spans="1:3" x14ac:dyDescent="0.3">
      <c r="A123" s="16">
        <v>122</v>
      </c>
      <c r="B123" s="16" t="s">
        <v>98</v>
      </c>
      <c r="C123" s="16">
        <v>95</v>
      </c>
    </row>
    <row r="124" spans="1:3" x14ac:dyDescent="0.3">
      <c r="A124" s="16">
        <v>123</v>
      </c>
      <c r="B124" s="17">
        <v>12323</v>
      </c>
      <c r="C124" s="16">
        <v>234</v>
      </c>
    </row>
    <row r="125" spans="1:3" x14ac:dyDescent="0.3">
      <c r="A125" s="16">
        <v>124</v>
      </c>
      <c r="B125" s="16" t="s">
        <v>99</v>
      </c>
      <c r="C125" s="16">
        <v>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5E4923AC150348A5690F246581549D" ma:contentTypeVersion="10" ma:contentTypeDescription="Creare un nuovo documento." ma:contentTypeScope="" ma:versionID="a1a22c6b29bfa080f7ea5365a9715497">
  <xsd:schema xmlns:xsd="http://www.w3.org/2001/XMLSchema" xmlns:xs="http://www.w3.org/2001/XMLSchema" xmlns:p="http://schemas.microsoft.com/office/2006/metadata/properties" xmlns:ns2="ebd3899b-a00e-4b87-b135-9668ba1ff0a8" xmlns:ns3="f4d7455b-7eb8-4547-8aa1-23b35c0ad67a" targetNamespace="http://schemas.microsoft.com/office/2006/metadata/properties" ma:root="true" ma:fieldsID="ba7f6b1bfd02c64454bc5c8858276bc0" ns2:_="" ns3:_="">
    <xsd:import namespace="ebd3899b-a00e-4b87-b135-9668ba1ff0a8"/>
    <xsd:import namespace="f4d7455b-7eb8-4547-8aa1-23b35c0ad6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d3899b-a00e-4b87-b135-9668ba1ff0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bb21486a-7a0a-4db4-9655-fe3ce8b761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7455b-7eb8-4547-8aa1-23b35c0ad67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6bda41e-2cec-46c5-99d9-e71886c3e78a}" ma:internalName="TaxCatchAll" ma:showField="CatchAllData" ma:web="f4d7455b-7eb8-4547-8aa1-23b35c0ad6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d3899b-a00e-4b87-b135-9668ba1ff0a8">
      <Terms xmlns="http://schemas.microsoft.com/office/infopath/2007/PartnerControls"/>
    </lcf76f155ced4ddcb4097134ff3c332f>
    <TaxCatchAll xmlns="f4d7455b-7eb8-4547-8aa1-23b35c0ad67a" xsi:nil="true"/>
  </documentManagement>
</p:properties>
</file>

<file path=customXml/itemProps1.xml><?xml version="1.0" encoding="utf-8"?>
<ds:datastoreItem xmlns:ds="http://schemas.openxmlformats.org/officeDocument/2006/customXml" ds:itemID="{45CD977E-3465-48B4-92B6-E625C3BC55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87D738-EC6F-44DD-A895-BC42822AE5E7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DEA7FC37-89C0-4607-AC79-6CCB1DF7BB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d3899b-a00e-4b87-b135-9668ba1ff0a8"/>
    <ds:schemaRef ds:uri="f4d7455b-7eb8-4547-8aa1-23b35c0ad6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54942C8-E87A-4170-9BDB-1CD2B18CCAA5}">
  <ds:schemaRefs>
    <ds:schemaRef ds:uri="http://schemas.microsoft.com/office/2006/metadata/properties"/>
    <ds:schemaRef ds:uri="http://purl.org/dc/elements/1.1/"/>
    <ds:schemaRef ds:uri="f4d7455b-7eb8-4547-8aa1-23b35c0ad67a"/>
    <ds:schemaRef ds:uri="ebd3899b-a00e-4b87-b135-9668ba1ff0a8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IZ-approach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Rina Mary Mazza</dc:creator>
  <cp:lastModifiedBy>Jhena Subol</cp:lastModifiedBy>
  <cp:lastPrinted>2026-01-21T16:04:25Z</cp:lastPrinted>
  <dcterms:created xsi:type="dcterms:W3CDTF">2025-12-02T15:25:17Z</dcterms:created>
  <dcterms:modified xsi:type="dcterms:W3CDTF">2026-01-23T07:12:55Z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0x010100BE5E4923AC150348A5690F246581549D</vt:lpwstr>
  </property>
</Properties>
</file>